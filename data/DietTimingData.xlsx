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60" yWindow="0" windowWidth="21600" windowHeight="14660"/>
  </bookViews>
  <sheets>
    <sheet name="Sheet1" sheetId="1" r:id="rId1"/>
    <sheet name="Sheet2" sheetId="2" r:id="rId2"/>
    <sheet name="Sheet3" sheetId="3" r:id="rId3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K132" i="1"/>
  <c r="L132"/>
  <c r="M132"/>
  <c r="K133"/>
  <c r="L133"/>
  <c r="M133"/>
  <c r="K134"/>
  <c r="L134"/>
  <c r="M134"/>
  <c r="K135"/>
  <c r="L135"/>
  <c r="M135"/>
  <c r="K136"/>
  <c r="L136"/>
  <c r="M136"/>
  <c r="K137"/>
  <c r="L137"/>
  <c r="M137"/>
  <c r="K138"/>
  <c r="L138"/>
  <c r="M138"/>
  <c r="K139"/>
  <c r="L139"/>
  <c r="M139"/>
  <c r="K140"/>
  <c r="L140"/>
  <c r="M140"/>
  <c r="K141"/>
  <c r="L141"/>
  <c r="M141"/>
  <c r="K142"/>
  <c r="L142"/>
  <c r="M142"/>
  <c r="K143"/>
  <c r="L143"/>
  <c r="M143"/>
  <c r="K144"/>
  <c r="L144"/>
  <c r="M144"/>
  <c r="K145"/>
  <c r="L145"/>
  <c r="M145"/>
  <c r="K146"/>
  <c r="L146"/>
  <c r="M146"/>
  <c r="K147"/>
  <c r="L147"/>
  <c r="M147"/>
  <c r="K148"/>
  <c r="L148"/>
  <c r="M148"/>
  <c r="K149"/>
  <c r="L149"/>
  <c r="M149"/>
  <c r="L131"/>
  <c r="K131"/>
  <c r="M131"/>
  <c r="K116"/>
  <c r="L116"/>
  <c r="M116"/>
  <c r="K117"/>
  <c r="L117"/>
  <c r="M117"/>
  <c r="K118"/>
  <c r="L118"/>
  <c r="M118"/>
  <c r="K119"/>
  <c r="L119"/>
  <c r="M119"/>
  <c r="K120"/>
  <c r="L120"/>
  <c r="M120"/>
  <c r="K121"/>
  <c r="L121"/>
  <c r="M121"/>
  <c r="K122"/>
  <c r="L122"/>
  <c r="M122"/>
  <c r="K123"/>
  <c r="L123"/>
  <c r="M123"/>
  <c r="K124"/>
  <c r="L124"/>
  <c r="M124"/>
  <c r="L125"/>
  <c r="K126"/>
  <c r="L126"/>
  <c r="M126"/>
  <c r="K127"/>
  <c r="L127"/>
  <c r="M127"/>
  <c r="K128"/>
  <c r="L128"/>
  <c r="M128"/>
  <c r="K129"/>
  <c r="L129"/>
  <c r="M129"/>
  <c r="K130"/>
  <c r="L130"/>
  <c r="M130"/>
  <c r="L9"/>
  <c r="K10"/>
  <c r="L10"/>
  <c r="M10"/>
  <c r="K14"/>
  <c r="L14"/>
  <c r="M14"/>
  <c r="K15"/>
  <c r="L15"/>
  <c r="M15"/>
  <c r="K16"/>
  <c r="L16"/>
  <c r="M16"/>
  <c r="K17"/>
  <c r="L17"/>
  <c r="M17"/>
  <c r="K18"/>
  <c r="L18"/>
  <c r="M18"/>
  <c r="K25"/>
  <c r="L25"/>
  <c r="M25"/>
  <c r="K27"/>
  <c r="L27"/>
  <c r="M27"/>
  <c r="K28"/>
  <c r="L28"/>
  <c r="M28"/>
  <c r="K29"/>
  <c r="L29"/>
  <c r="M29"/>
  <c r="K30"/>
  <c r="L30"/>
  <c r="M30"/>
  <c r="K31"/>
  <c r="K32"/>
  <c r="K33"/>
  <c r="K34"/>
  <c r="K37"/>
  <c r="L37"/>
  <c r="M37"/>
  <c r="K38"/>
  <c r="L38"/>
  <c r="M38"/>
  <c r="K39"/>
  <c r="L39"/>
  <c r="M39"/>
  <c r="K40"/>
  <c r="L40"/>
  <c r="M40"/>
  <c r="K41"/>
  <c r="L41"/>
  <c r="M41"/>
  <c r="K45"/>
  <c r="L45"/>
  <c r="M45"/>
  <c r="K47"/>
  <c r="L47"/>
  <c r="M47"/>
  <c r="K48"/>
  <c r="L48"/>
  <c r="M48"/>
  <c r="K50"/>
  <c r="L50"/>
  <c r="M50"/>
  <c r="K51"/>
  <c r="K52"/>
  <c r="K53"/>
  <c r="K54"/>
  <c r="K59"/>
  <c r="L59"/>
  <c r="M59"/>
  <c r="K60"/>
  <c r="L60"/>
  <c r="M60"/>
  <c r="K65"/>
  <c r="L65"/>
  <c r="M65"/>
  <c r="K66"/>
  <c r="L66"/>
  <c r="M66"/>
  <c r="K68"/>
  <c r="K69"/>
  <c r="K70"/>
  <c r="K71"/>
  <c r="K72"/>
  <c r="L72"/>
  <c r="M72"/>
  <c r="L75"/>
  <c r="K76"/>
  <c r="L76"/>
  <c r="M76"/>
  <c r="K77"/>
  <c r="L77"/>
  <c r="M77"/>
  <c r="K78"/>
  <c r="L78"/>
  <c r="M78"/>
  <c r="K79"/>
  <c r="L79"/>
  <c r="M79"/>
  <c r="K84"/>
  <c r="L84"/>
  <c r="M84"/>
  <c r="K85"/>
  <c r="L85"/>
  <c r="M85"/>
  <c r="K86"/>
  <c r="L86"/>
  <c r="M86"/>
  <c r="K87"/>
  <c r="L87"/>
  <c r="M87"/>
  <c r="K88"/>
  <c r="L88"/>
  <c r="M88"/>
  <c r="K89"/>
  <c r="L89"/>
  <c r="M89"/>
  <c r="K90"/>
  <c r="L90"/>
  <c r="M90"/>
  <c r="K91"/>
  <c r="L91"/>
  <c r="M91"/>
  <c r="K92"/>
  <c r="L92"/>
  <c r="M92"/>
  <c r="K93"/>
  <c r="L93"/>
  <c r="M93"/>
  <c r="K94"/>
  <c r="L94"/>
  <c r="M94"/>
  <c r="K95"/>
  <c r="L95"/>
  <c r="M95"/>
  <c r="K96"/>
  <c r="L96"/>
  <c r="M96"/>
  <c r="K97"/>
  <c r="L97"/>
  <c r="M97"/>
  <c r="K98"/>
  <c r="L98"/>
  <c r="M98"/>
  <c r="K99"/>
  <c r="L99"/>
  <c r="M99"/>
  <c r="K100"/>
  <c r="L100"/>
  <c r="M100"/>
  <c r="K101"/>
  <c r="L101"/>
  <c r="M101"/>
  <c r="K102"/>
  <c r="L102"/>
  <c r="M102"/>
  <c r="K103"/>
  <c r="L103"/>
  <c r="M103"/>
  <c r="K104"/>
  <c r="L104"/>
  <c r="M104"/>
  <c r="K105"/>
  <c r="L105"/>
  <c r="M105"/>
  <c r="L106"/>
  <c r="K107"/>
  <c r="L107"/>
  <c r="M107"/>
  <c r="K108"/>
  <c r="L108"/>
  <c r="M108"/>
  <c r="K109"/>
  <c r="L109"/>
  <c r="M109"/>
  <c r="K110"/>
  <c r="L110"/>
  <c r="M110"/>
  <c r="K111"/>
  <c r="L111"/>
  <c r="M111"/>
  <c r="K112"/>
  <c r="L112"/>
  <c r="M112"/>
  <c r="K113"/>
  <c r="L113"/>
  <c r="M113"/>
  <c r="K114"/>
  <c r="L114"/>
  <c r="M114"/>
  <c r="K115"/>
  <c r="L115"/>
  <c r="M115"/>
  <c r="M8"/>
  <c r="L8"/>
  <c r="K3"/>
  <c r="K4"/>
  <c r="K5"/>
  <c r="K6"/>
  <c r="K7"/>
  <c r="K8"/>
  <c r="K2"/>
</calcChain>
</file>

<file path=xl/sharedStrings.xml><?xml version="1.0" encoding="utf-8"?>
<sst xmlns="http://schemas.openxmlformats.org/spreadsheetml/2006/main" count="615" uniqueCount="77">
  <si>
    <t>M</t>
    <phoneticPr fontId="1" type="noConversion"/>
  </si>
  <si>
    <t>F</t>
    <phoneticPr fontId="1" type="noConversion"/>
  </si>
  <si>
    <t>F</t>
    <phoneticPr fontId="1" type="noConversion"/>
  </si>
  <si>
    <t>M</t>
    <phoneticPr fontId="1" type="noConversion"/>
  </si>
  <si>
    <t>F</t>
    <phoneticPr fontId="1" type="noConversion"/>
  </si>
  <si>
    <t>NA</t>
    <phoneticPr fontId="1" type="noConversion"/>
  </si>
  <si>
    <t>NA</t>
    <phoneticPr fontId="1" type="noConversion"/>
  </si>
  <si>
    <t>B</t>
    <phoneticPr fontId="1" type="noConversion"/>
  </si>
  <si>
    <t>S</t>
    <phoneticPr fontId="1" type="noConversion"/>
  </si>
  <si>
    <t>F</t>
    <phoneticPr fontId="1" type="noConversion"/>
  </si>
  <si>
    <t>M</t>
    <phoneticPr fontId="1" type="noConversion"/>
  </si>
  <si>
    <t>M</t>
    <phoneticPr fontId="1" type="noConversion"/>
  </si>
  <si>
    <t>F</t>
    <phoneticPr fontId="1" type="noConversion"/>
  </si>
  <si>
    <t>NA</t>
    <phoneticPr fontId="1" type="noConversion"/>
  </si>
  <si>
    <t>died as pupa</t>
    <phoneticPr fontId="1" type="noConversion"/>
  </si>
  <si>
    <t>M</t>
    <phoneticPr fontId="1" type="noConversion"/>
  </si>
  <si>
    <t>died as pupa</t>
    <phoneticPr fontId="1" type="noConversion"/>
  </si>
  <si>
    <t>NA</t>
    <phoneticPr fontId="1" type="noConversion"/>
  </si>
  <si>
    <t>F</t>
    <phoneticPr fontId="1" type="noConversion"/>
  </si>
  <si>
    <t>NA</t>
    <phoneticPr fontId="1" type="noConversion"/>
  </si>
  <si>
    <t>NA</t>
    <phoneticPr fontId="1" type="noConversion"/>
  </si>
  <si>
    <t>F</t>
    <phoneticPr fontId="1" type="noConversion"/>
  </si>
  <si>
    <t>M</t>
    <phoneticPr fontId="1" type="noConversion"/>
  </si>
  <si>
    <t>Pre-pupal stage is included pupal duration</t>
    <phoneticPr fontId="1" type="noConversion"/>
  </si>
  <si>
    <t>Pupated</t>
    <phoneticPr fontId="1" type="noConversion"/>
  </si>
  <si>
    <t>Notes</t>
    <phoneticPr fontId="1" type="noConversion"/>
  </si>
  <si>
    <t>Develop</t>
  </si>
  <si>
    <t>TrtToAdult</t>
  </si>
  <si>
    <t>TrtToPupa</t>
  </si>
  <si>
    <t>NA</t>
    <phoneticPr fontId="1" type="noConversion"/>
  </si>
  <si>
    <t>F</t>
    <phoneticPr fontId="1" type="noConversion"/>
  </si>
  <si>
    <t>M</t>
    <phoneticPr fontId="1" type="noConversion"/>
  </si>
  <si>
    <t>F</t>
    <phoneticPr fontId="1" type="noConversion"/>
  </si>
  <si>
    <t>M</t>
    <phoneticPr fontId="1" type="noConversion"/>
  </si>
  <si>
    <t>F</t>
    <phoneticPr fontId="1" type="noConversion"/>
  </si>
  <si>
    <t>Rep</t>
    <phoneticPr fontId="1" type="noConversion"/>
  </si>
  <si>
    <t>Timing: day that diet treatment was implement; 1 = 1st day of 4th instar, 2 = 2nd day of 4th instar, etc.</t>
    <phoneticPr fontId="1" type="noConversion"/>
  </si>
  <si>
    <t>died as larva</t>
    <phoneticPr fontId="1" type="noConversion"/>
  </si>
  <si>
    <t>died as pupa</t>
    <phoneticPr fontId="1" type="noConversion"/>
  </si>
  <si>
    <t>died as larva</t>
    <phoneticPr fontId="1" type="noConversion"/>
  </si>
  <si>
    <t>died as larva</t>
    <phoneticPr fontId="1" type="noConversion"/>
  </si>
  <si>
    <t>Trt</t>
    <phoneticPr fontId="1" type="noConversion"/>
  </si>
  <si>
    <t>Timing</t>
    <phoneticPr fontId="1" type="noConversion"/>
  </si>
  <si>
    <t>P</t>
    <phoneticPr fontId="1" type="noConversion"/>
  </si>
  <si>
    <t>NA</t>
    <phoneticPr fontId="1" type="noConversion"/>
  </si>
  <si>
    <t>B</t>
    <phoneticPr fontId="1" type="noConversion"/>
  </si>
  <si>
    <t>B</t>
    <phoneticPr fontId="1" type="noConversion"/>
  </si>
  <si>
    <t>S</t>
    <phoneticPr fontId="1" type="noConversion"/>
  </si>
  <si>
    <t>S</t>
    <phoneticPr fontId="1" type="noConversion"/>
  </si>
  <si>
    <t>died as larva</t>
    <phoneticPr fontId="1" type="noConversion"/>
  </si>
  <si>
    <t>died as larva</t>
    <phoneticPr fontId="1" type="noConversion"/>
  </si>
  <si>
    <t>ID</t>
  </si>
  <si>
    <t>died as pupa</t>
  </si>
  <si>
    <t>NA</t>
  </si>
  <si>
    <t>Block</t>
  </si>
  <si>
    <t>NA</t>
    <phoneticPr fontId="1" type="noConversion"/>
  </si>
  <si>
    <t>F</t>
  </si>
  <si>
    <t>M</t>
  </si>
  <si>
    <t>First</t>
    <phoneticPr fontId="1" type="noConversion"/>
  </si>
  <si>
    <t>Second</t>
    <phoneticPr fontId="1" type="noConversion"/>
  </si>
  <si>
    <t>Third</t>
    <phoneticPr fontId="1" type="noConversion"/>
  </si>
  <si>
    <t>Fourth</t>
    <phoneticPr fontId="1" type="noConversion"/>
  </si>
  <si>
    <t>Pupa</t>
    <phoneticPr fontId="1" type="noConversion"/>
  </si>
  <si>
    <t>T.weight</t>
    <phoneticPr fontId="1" type="noConversion"/>
  </si>
  <si>
    <t>A.weight</t>
    <phoneticPr fontId="1" type="noConversion"/>
  </si>
  <si>
    <t>Sex</t>
    <phoneticPr fontId="1" type="noConversion"/>
  </si>
  <si>
    <t>Eclosed</t>
    <phoneticPr fontId="1" type="noConversion"/>
  </si>
  <si>
    <t>B</t>
    <phoneticPr fontId="1" type="noConversion"/>
  </si>
  <si>
    <t>S</t>
    <phoneticPr fontId="1" type="noConversion"/>
  </si>
  <si>
    <t>S</t>
    <phoneticPr fontId="1" type="noConversion"/>
  </si>
  <si>
    <t>M</t>
    <phoneticPr fontId="1" type="noConversion"/>
  </si>
  <si>
    <t>F</t>
    <phoneticPr fontId="1" type="noConversion"/>
  </si>
  <si>
    <t>M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</si>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</sst>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</numFmts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Fill="1"/>
    <xf numFmtId="165" fontId="0" fillId="0" borderId="0" xfId="0" applyNumberFormat="1"/>
    <xf numFmtId="165" fontId="0" fillId="0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X149"/>
  <sheetViews>
    <sheetView tabSelected="1" zoomScale="125" workbookViewId="0">
      <selection activeCell="A129" sqref="A129:A149"/>
    </sheetView>
  </sheetViews>
  <sheetFormatPr baseColWidth="10" defaultColWidth="8.83203125" defaultRowHeight="12"/>
  <cols>
    <col min="14" max="15" width="8.83203125" style="3"/>
    <col min="18" max="18" width="8.83203125" style="5"/>
  </cols>
  <sheetData>
    <row r="1" spans="1:24">
      <c r="A1" t="s">
        <v>51</v>
      </c>
      <c r="B1" t="s">
        <v>54</v>
      </c>
      <c r="C1" t="s">
        <v>41</v>
      </c>
      <c r="D1" t="s">
        <v>42</v>
      </c>
      <c r="E1" t="s">
        <v>35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26</v>
      </c>
      <c r="L1" t="s">
        <v>28</v>
      </c>
      <c r="M1" t="s">
        <v>27</v>
      </c>
      <c r="N1" s="3" t="s">
        <v>63</v>
      </c>
      <c r="O1" s="3" t="s">
        <v>64</v>
      </c>
      <c r="P1" t="s">
        <v>65</v>
      </c>
      <c r="Q1" t="s">
        <v>24</v>
      </c>
      <c r="R1" s="5" t="s">
        <v>66</v>
      </c>
      <c r="S1" t="s">
        <v>25</v>
      </c>
      <c r="U1" t="s">
        <v>36</v>
      </c>
    </row>
    <row r="2" spans="1:24">
      <c r="A2">
        <v>1</v>
      </c>
      <c r="B2">
        <v>1</v>
      </c>
      <c r="C2" t="s">
        <v>43</v>
      </c>
      <c r="D2" t="s">
        <v>44</v>
      </c>
      <c r="E2">
        <v>1</v>
      </c>
      <c r="F2">
        <v>3</v>
      </c>
      <c r="G2">
        <v>1</v>
      </c>
      <c r="H2">
        <v>3</v>
      </c>
      <c r="I2">
        <v>3</v>
      </c>
      <c r="J2">
        <v>6</v>
      </c>
      <c r="K2">
        <f>F2+G2+H2+I2+J2</f>
        <v>16</v>
      </c>
      <c r="L2" t="s">
        <v>5</v>
      </c>
      <c r="M2" t="s">
        <v>5</v>
      </c>
      <c r="N2" s="3">
        <v>1.4E-2</v>
      </c>
      <c r="O2" s="3">
        <v>2.4199999999999999E-2</v>
      </c>
      <c r="P2" t="s">
        <v>56</v>
      </c>
      <c r="Q2" s="5">
        <v>1</v>
      </c>
      <c r="R2" s="5">
        <v>1</v>
      </c>
      <c r="U2" t="s">
        <v>23</v>
      </c>
      <c r="W2" s="1"/>
      <c r="X2" s="1"/>
    </row>
    <row r="3" spans="1:24">
      <c r="A3">
        <v>2</v>
      </c>
      <c r="B3">
        <v>1</v>
      </c>
      <c r="C3" t="s">
        <v>43</v>
      </c>
      <c r="D3" t="s">
        <v>44</v>
      </c>
      <c r="E3">
        <v>2</v>
      </c>
      <c r="F3">
        <v>2</v>
      </c>
      <c r="G3">
        <v>2</v>
      </c>
      <c r="H3">
        <v>3</v>
      </c>
      <c r="I3">
        <v>3</v>
      </c>
      <c r="J3">
        <v>6</v>
      </c>
      <c r="K3">
        <f>F3+G3+H3+I3+J3</f>
        <v>16</v>
      </c>
      <c r="L3" t="s">
        <v>5</v>
      </c>
      <c r="M3" t="s">
        <v>5</v>
      </c>
      <c r="N3" s="3">
        <v>1.4800000000000001E-2</v>
      </c>
      <c r="O3" s="3">
        <v>2.58E-2</v>
      </c>
      <c r="P3" t="s">
        <v>56</v>
      </c>
      <c r="Q3" s="5">
        <v>1</v>
      </c>
      <c r="R3" s="5">
        <v>1</v>
      </c>
      <c r="W3" s="1"/>
      <c r="X3" s="1"/>
    </row>
    <row r="4" spans="1:24">
      <c r="A4">
        <v>3</v>
      </c>
      <c r="B4">
        <v>1</v>
      </c>
      <c r="C4" t="s">
        <v>43</v>
      </c>
      <c r="D4" t="s">
        <v>44</v>
      </c>
      <c r="E4">
        <v>3</v>
      </c>
      <c r="F4">
        <v>2</v>
      </c>
      <c r="G4">
        <v>2</v>
      </c>
      <c r="H4">
        <v>3</v>
      </c>
      <c r="I4">
        <v>4</v>
      </c>
      <c r="J4">
        <v>6</v>
      </c>
      <c r="K4">
        <f>F4+G4+H4+I4+J4</f>
        <v>17</v>
      </c>
      <c r="L4" t="s">
        <v>5</v>
      </c>
      <c r="M4" t="s">
        <v>5</v>
      </c>
      <c r="N4" s="3">
        <v>1.11E-2</v>
      </c>
      <c r="O4" s="3">
        <v>1.9599999999999999E-2</v>
      </c>
      <c r="P4" t="s">
        <v>57</v>
      </c>
      <c r="Q4" s="5">
        <v>1</v>
      </c>
      <c r="R4" s="5">
        <v>1</v>
      </c>
      <c r="W4" s="1"/>
      <c r="X4" s="1"/>
    </row>
    <row r="5" spans="1:24">
      <c r="A5">
        <v>4</v>
      </c>
      <c r="B5">
        <v>1</v>
      </c>
      <c r="C5" t="s">
        <v>43</v>
      </c>
      <c r="D5" t="s">
        <v>44</v>
      </c>
      <c r="E5">
        <v>4</v>
      </c>
      <c r="F5">
        <v>3</v>
      </c>
      <c r="G5">
        <v>1</v>
      </c>
      <c r="H5">
        <v>2</v>
      </c>
      <c r="I5">
        <v>5</v>
      </c>
      <c r="J5">
        <v>5</v>
      </c>
      <c r="K5">
        <f>F5+G5+H5+I5+J5</f>
        <v>16</v>
      </c>
      <c r="L5" t="s">
        <v>5</v>
      </c>
      <c r="M5" t="s">
        <v>5</v>
      </c>
      <c r="N5" s="3">
        <v>1.5299999999999999E-2</v>
      </c>
      <c r="O5" s="3">
        <v>2.2700000000000001E-2</v>
      </c>
      <c r="P5" t="s">
        <v>57</v>
      </c>
      <c r="Q5" s="5">
        <v>1</v>
      </c>
      <c r="R5" s="5">
        <v>1</v>
      </c>
      <c r="W5" s="1"/>
      <c r="X5" s="1"/>
    </row>
    <row r="6" spans="1:24">
      <c r="A6">
        <v>5</v>
      </c>
      <c r="B6">
        <v>2</v>
      </c>
      <c r="C6" t="s">
        <v>43</v>
      </c>
      <c r="D6" t="s">
        <v>44</v>
      </c>
      <c r="E6">
        <v>5</v>
      </c>
      <c r="F6">
        <v>2</v>
      </c>
      <c r="G6">
        <v>2</v>
      </c>
      <c r="H6">
        <v>2</v>
      </c>
      <c r="I6">
        <v>4</v>
      </c>
      <c r="J6">
        <v>7</v>
      </c>
      <c r="K6">
        <f>F6+G6+H6+I6+J6</f>
        <v>17</v>
      </c>
      <c r="L6" t="s">
        <v>5</v>
      </c>
      <c r="M6" t="s">
        <v>5</v>
      </c>
      <c r="N6" s="3">
        <v>1.01E-2</v>
      </c>
      <c r="O6" s="3">
        <v>2.0799999999999999E-2</v>
      </c>
      <c r="P6" t="s">
        <v>57</v>
      </c>
      <c r="Q6" s="5">
        <v>1</v>
      </c>
      <c r="R6" s="5">
        <v>1</v>
      </c>
      <c r="W6" s="1"/>
      <c r="X6" s="1"/>
    </row>
    <row r="7" spans="1:24">
      <c r="A7">
        <v>6</v>
      </c>
      <c r="B7">
        <v>2</v>
      </c>
      <c r="C7" t="s">
        <v>43</v>
      </c>
      <c r="D7" t="s">
        <v>44</v>
      </c>
      <c r="E7">
        <v>6</v>
      </c>
      <c r="F7">
        <v>3</v>
      </c>
      <c r="G7">
        <v>1</v>
      </c>
      <c r="H7">
        <v>2</v>
      </c>
      <c r="I7">
        <v>4</v>
      </c>
      <c r="J7">
        <v>7</v>
      </c>
      <c r="K7">
        <f>F7+G7+H7+I7+J7</f>
        <v>17</v>
      </c>
      <c r="L7" t="s">
        <v>5</v>
      </c>
      <c r="M7" t="s">
        <v>5</v>
      </c>
      <c r="N7" s="3">
        <v>7.7000000000000002E-3</v>
      </c>
      <c r="O7" s="3">
        <v>2.1999999999999999E-2</v>
      </c>
      <c r="P7" t="s">
        <v>57</v>
      </c>
      <c r="Q7" s="5">
        <v>1</v>
      </c>
      <c r="R7" s="5">
        <v>1</v>
      </c>
    </row>
    <row r="8" spans="1:24">
      <c r="A8">
        <v>7</v>
      </c>
      <c r="B8">
        <v>1</v>
      </c>
      <c r="C8" t="s">
        <v>45</v>
      </c>
      <c r="D8">
        <v>1</v>
      </c>
      <c r="E8">
        <v>1</v>
      </c>
      <c r="F8">
        <v>2</v>
      </c>
      <c r="G8">
        <v>2</v>
      </c>
      <c r="H8">
        <v>2</v>
      </c>
      <c r="I8">
        <v>10</v>
      </c>
      <c r="J8">
        <v>6</v>
      </c>
      <c r="K8">
        <f>F8+G8+H8+I8+J8</f>
        <v>22</v>
      </c>
      <c r="L8">
        <f>I8-(D8)+1</f>
        <v>10</v>
      </c>
      <c r="M8">
        <f>I8+J8-D8+1</f>
        <v>16</v>
      </c>
      <c r="N8" s="3">
        <v>1.14E-2</v>
      </c>
      <c r="O8" s="3">
        <v>1.0500000000000001E-2</v>
      </c>
      <c r="P8" t="s">
        <v>57</v>
      </c>
      <c r="Q8" s="5">
        <v>1</v>
      </c>
      <c r="R8" s="5">
        <v>1</v>
      </c>
    </row>
    <row r="9" spans="1:24">
      <c r="A9">
        <v>8</v>
      </c>
      <c r="B9">
        <v>1</v>
      </c>
      <c r="C9" t="s">
        <v>45</v>
      </c>
      <c r="D9">
        <v>1</v>
      </c>
      <c r="E9">
        <v>2</v>
      </c>
      <c r="F9">
        <v>3</v>
      </c>
      <c r="G9">
        <v>2</v>
      </c>
      <c r="H9">
        <v>2</v>
      </c>
      <c r="I9">
        <v>13</v>
      </c>
      <c r="J9" t="s">
        <v>53</v>
      </c>
      <c r="K9" t="s">
        <v>53</v>
      </c>
      <c r="L9">
        <f>I9-(D9)+1</f>
        <v>13</v>
      </c>
      <c r="M9" t="s">
        <v>6</v>
      </c>
      <c r="N9" s="3">
        <v>1.1599999999999999E-2</v>
      </c>
      <c r="O9" s="3" t="s">
        <v>53</v>
      </c>
      <c r="P9" t="s">
        <v>53</v>
      </c>
      <c r="Q9" s="5">
        <v>1</v>
      </c>
      <c r="R9" s="5">
        <v>0</v>
      </c>
      <c r="S9" t="s">
        <v>52</v>
      </c>
    </row>
    <row r="10" spans="1:24">
      <c r="A10">
        <v>9</v>
      </c>
      <c r="B10">
        <v>1</v>
      </c>
      <c r="C10" t="s">
        <v>45</v>
      </c>
      <c r="D10">
        <v>1</v>
      </c>
      <c r="E10">
        <v>3</v>
      </c>
      <c r="F10">
        <v>3</v>
      </c>
      <c r="G10">
        <v>1</v>
      </c>
      <c r="H10">
        <v>3</v>
      </c>
      <c r="I10">
        <v>14</v>
      </c>
      <c r="J10">
        <v>5</v>
      </c>
      <c r="K10">
        <f>F10+G10+H10+I10+J10</f>
        <v>26</v>
      </c>
      <c r="L10">
        <f>I10-(D10)+1</f>
        <v>14</v>
      </c>
      <c r="M10">
        <f>I10+J10-D10+1</f>
        <v>19</v>
      </c>
      <c r="N10" s="3">
        <v>1.18E-2</v>
      </c>
      <c r="O10" s="3">
        <v>1.0500000000000001E-2</v>
      </c>
      <c r="P10" t="s">
        <v>56</v>
      </c>
      <c r="Q10" s="5">
        <v>1</v>
      </c>
      <c r="R10" s="5">
        <v>1</v>
      </c>
    </row>
    <row r="11" spans="1:24">
      <c r="A11">
        <v>10</v>
      </c>
      <c r="B11">
        <v>1</v>
      </c>
      <c r="C11" t="s">
        <v>45</v>
      </c>
      <c r="D11">
        <v>1</v>
      </c>
      <c r="E11">
        <v>4</v>
      </c>
      <c r="F11">
        <v>2</v>
      </c>
      <c r="G11">
        <v>2</v>
      </c>
      <c r="H11">
        <v>2</v>
      </c>
      <c r="I11" t="s">
        <v>53</v>
      </c>
      <c r="J11" t="s">
        <v>53</v>
      </c>
      <c r="K11" t="s">
        <v>5</v>
      </c>
      <c r="L11" t="s">
        <v>17</v>
      </c>
      <c r="M11" t="s">
        <v>6</v>
      </c>
      <c r="N11" s="3">
        <v>1.12E-2</v>
      </c>
      <c r="O11" s="3" t="s">
        <v>53</v>
      </c>
      <c r="P11" t="s">
        <v>53</v>
      </c>
      <c r="Q11" s="5">
        <v>0</v>
      </c>
      <c r="R11" s="5">
        <v>0</v>
      </c>
      <c r="S11" t="s">
        <v>37</v>
      </c>
    </row>
    <row r="12" spans="1:24">
      <c r="A12">
        <v>11</v>
      </c>
      <c r="B12">
        <v>2</v>
      </c>
      <c r="C12" t="s">
        <v>45</v>
      </c>
      <c r="D12">
        <v>1</v>
      </c>
      <c r="E12">
        <v>5</v>
      </c>
      <c r="F12">
        <v>2</v>
      </c>
      <c r="G12">
        <v>2</v>
      </c>
      <c r="H12">
        <v>2</v>
      </c>
      <c r="I12" t="s">
        <v>53</v>
      </c>
      <c r="J12" t="s">
        <v>53</v>
      </c>
      <c r="K12" t="s">
        <v>5</v>
      </c>
      <c r="L12" t="s">
        <v>17</v>
      </c>
      <c r="M12" t="s">
        <v>6</v>
      </c>
      <c r="N12" s="3">
        <v>1.47E-2</v>
      </c>
      <c r="O12" s="3" t="s">
        <v>53</v>
      </c>
      <c r="P12" t="s">
        <v>53</v>
      </c>
      <c r="Q12" s="5">
        <v>0</v>
      </c>
      <c r="R12" s="5">
        <v>0</v>
      </c>
      <c r="S12" t="s">
        <v>37</v>
      </c>
    </row>
    <row r="13" spans="1:24">
      <c r="A13">
        <v>12</v>
      </c>
      <c r="B13">
        <v>2</v>
      </c>
      <c r="C13" t="s">
        <v>45</v>
      </c>
      <c r="D13">
        <v>1</v>
      </c>
      <c r="E13">
        <v>6</v>
      </c>
      <c r="F13">
        <v>3</v>
      </c>
      <c r="G13">
        <v>2</v>
      </c>
      <c r="H13">
        <v>2</v>
      </c>
      <c r="I13" t="s">
        <v>53</v>
      </c>
      <c r="J13" t="s">
        <v>53</v>
      </c>
      <c r="K13" t="s">
        <v>5</v>
      </c>
      <c r="L13" t="s">
        <v>17</v>
      </c>
      <c r="M13" t="s">
        <v>6</v>
      </c>
      <c r="N13" s="3">
        <v>1.3100000000000001E-2</v>
      </c>
      <c r="O13" s="3" t="s">
        <v>53</v>
      </c>
      <c r="P13" t="s">
        <v>53</v>
      </c>
      <c r="Q13" s="5">
        <v>0</v>
      </c>
      <c r="R13" s="5">
        <v>0</v>
      </c>
      <c r="S13" t="s">
        <v>37</v>
      </c>
    </row>
    <row r="14" spans="1:24">
      <c r="A14">
        <v>13</v>
      </c>
      <c r="B14">
        <v>1</v>
      </c>
      <c r="C14" t="s">
        <v>46</v>
      </c>
      <c r="D14">
        <v>2</v>
      </c>
      <c r="E14">
        <v>1</v>
      </c>
      <c r="F14">
        <v>2</v>
      </c>
      <c r="G14">
        <v>2</v>
      </c>
      <c r="H14">
        <v>2</v>
      </c>
      <c r="I14">
        <v>6</v>
      </c>
      <c r="J14">
        <v>6</v>
      </c>
      <c r="K14">
        <f>F14+G14+H14+I14+J14</f>
        <v>18</v>
      </c>
      <c r="L14">
        <f>I14-(D14)+1</f>
        <v>5</v>
      </c>
      <c r="M14">
        <f>I14+J14-D14+1</f>
        <v>11</v>
      </c>
      <c r="N14" s="3">
        <v>1.89E-2</v>
      </c>
      <c r="O14" s="3">
        <v>1.23E-2</v>
      </c>
      <c r="P14" t="s">
        <v>57</v>
      </c>
      <c r="Q14" s="5">
        <v>1</v>
      </c>
      <c r="R14" s="5">
        <v>1</v>
      </c>
    </row>
    <row r="15" spans="1:24">
      <c r="A15">
        <v>14</v>
      </c>
      <c r="B15">
        <v>1</v>
      </c>
      <c r="C15" t="s">
        <v>46</v>
      </c>
      <c r="D15">
        <v>2</v>
      </c>
      <c r="E15">
        <v>2</v>
      </c>
      <c r="F15">
        <v>2</v>
      </c>
      <c r="G15">
        <v>2</v>
      </c>
      <c r="H15">
        <v>2</v>
      </c>
      <c r="I15">
        <v>8</v>
      </c>
      <c r="J15">
        <v>6</v>
      </c>
      <c r="K15">
        <f>F15+G15+H15+I15+J15</f>
        <v>20</v>
      </c>
      <c r="L15">
        <f>I15-(D15)+1</f>
        <v>7</v>
      </c>
      <c r="M15">
        <f>I15+J15-D15+1</f>
        <v>13</v>
      </c>
      <c r="N15" s="3">
        <v>1.9400000000000001E-2</v>
      </c>
      <c r="O15" s="3">
        <v>1.23E-2</v>
      </c>
      <c r="P15" t="s">
        <v>57</v>
      </c>
      <c r="Q15" s="5">
        <v>1</v>
      </c>
      <c r="R15" s="5">
        <v>1</v>
      </c>
    </row>
    <row r="16" spans="1:24">
      <c r="A16">
        <v>15</v>
      </c>
      <c r="B16">
        <v>1</v>
      </c>
      <c r="C16" t="s">
        <v>46</v>
      </c>
      <c r="D16">
        <v>2</v>
      </c>
      <c r="E16">
        <v>3</v>
      </c>
      <c r="F16">
        <v>2</v>
      </c>
      <c r="G16">
        <v>2</v>
      </c>
      <c r="H16">
        <v>2</v>
      </c>
      <c r="I16">
        <v>14</v>
      </c>
      <c r="J16">
        <v>6</v>
      </c>
      <c r="K16">
        <f>F16+G16+H16+I16+J16</f>
        <v>26</v>
      </c>
      <c r="L16">
        <f>I16-(D16)+1</f>
        <v>13</v>
      </c>
      <c r="M16">
        <f>I16+J16-D16+1</f>
        <v>19</v>
      </c>
      <c r="N16" s="3">
        <v>1.6299999999999999E-2</v>
      </c>
      <c r="O16" s="3">
        <v>8.0999999999999996E-3</v>
      </c>
      <c r="P16" t="s">
        <v>57</v>
      </c>
      <c r="Q16" s="5">
        <v>1</v>
      </c>
      <c r="R16" s="5">
        <v>1</v>
      </c>
    </row>
    <row r="17" spans="1:19">
      <c r="A17">
        <v>16</v>
      </c>
      <c r="B17">
        <v>2</v>
      </c>
      <c r="C17" t="s">
        <v>46</v>
      </c>
      <c r="D17">
        <v>2</v>
      </c>
      <c r="E17">
        <v>4</v>
      </c>
      <c r="F17">
        <v>2</v>
      </c>
      <c r="G17">
        <v>2</v>
      </c>
      <c r="H17">
        <v>3</v>
      </c>
      <c r="I17">
        <v>3</v>
      </c>
      <c r="J17">
        <v>6</v>
      </c>
      <c r="K17">
        <f>F17+G17+H17+I17+J17</f>
        <v>16</v>
      </c>
      <c r="L17">
        <f>I17-(D17)+1</f>
        <v>2</v>
      </c>
      <c r="M17">
        <f>I17+J17-D17+1</f>
        <v>8</v>
      </c>
      <c r="N17" s="3">
        <v>2.4299999999999999E-2</v>
      </c>
      <c r="O17" s="3">
        <v>1.5100000000000001E-2</v>
      </c>
      <c r="P17" t="s">
        <v>57</v>
      </c>
      <c r="Q17" s="5">
        <v>1</v>
      </c>
      <c r="R17" s="5">
        <v>1</v>
      </c>
    </row>
    <row r="18" spans="1:19">
      <c r="A18">
        <v>17</v>
      </c>
      <c r="B18">
        <v>2</v>
      </c>
      <c r="C18" t="s">
        <v>46</v>
      </c>
      <c r="D18">
        <v>2</v>
      </c>
      <c r="E18">
        <v>5</v>
      </c>
      <c r="F18">
        <v>2</v>
      </c>
      <c r="G18">
        <v>2</v>
      </c>
      <c r="H18">
        <v>2</v>
      </c>
      <c r="I18">
        <v>5</v>
      </c>
      <c r="J18">
        <v>6</v>
      </c>
      <c r="K18">
        <f>F18+G18+H18+I18+J18</f>
        <v>17</v>
      </c>
      <c r="L18">
        <f>I18-(D18)+1</f>
        <v>4</v>
      </c>
      <c r="M18">
        <f>I18+J18-D18+1</f>
        <v>10</v>
      </c>
      <c r="N18" s="3">
        <v>2.6200000000000001E-2</v>
      </c>
      <c r="O18" s="3">
        <v>1.43E-2</v>
      </c>
      <c r="P18" t="s">
        <v>56</v>
      </c>
      <c r="Q18" s="5">
        <v>1</v>
      </c>
      <c r="R18" s="5">
        <v>1</v>
      </c>
    </row>
    <row r="19" spans="1:19">
      <c r="A19">
        <v>18</v>
      </c>
      <c r="B19">
        <v>1</v>
      </c>
      <c r="C19" t="s">
        <v>47</v>
      </c>
      <c r="D19">
        <v>1</v>
      </c>
      <c r="E19">
        <v>1</v>
      </c>
      <c r="F19">
        <v>3</v>
      </c>
      <c r="G19">
        <v>1</v>
      </c>
      <c r="H19">
        <v>3</v>
      </c>
      <c r="I19" t="s">
        <v>53</v>
      </c>
      <c r="J19" t="s">
        <v>53</v>
      </c>
      <c r="K19" t="s">
        <v>5</v>
      </c>
      <c r="L19" t="s">
        <v>17</v>
      </c>
      <c r="M19" t="s">
        <v>6</v>
      </c>
      <c r="N19" s="3">
        <v>1.47E-2</v>
      </c>
      <c r="O19" s="4" t="s">
        <v>55</v>
      </c>
      <c r="P19" s="2" t="s">
        <v>55</v>
      </c>
      <c r="Q19" s="5">
        <v>0</v>
      </c>
      <c r="R19" s="5">
        <v>0</v>
      </c>
      <c r="S19" t="s">
        <v>37</v>
      </c>
    </row>
    <row r="20" spans="1:19">
      <c r="A20">
        <v>19</v>
      </c>
      <c r="B20">
        <v>1</v>
      </c>
      <c r="C20" t="s">
        <v>47</v>
      </c>
      <c r="D20">
        <v>1</v>
      </c>
      <c r="E20">
        <v>2</v>
      </c>
      <c r="F20">
        <v>2</v>
      </c>
      <c r="G20">
        <v>2</v>
      </c>
      <c r="H20">
        <v>2</v>
      </c>
      <c r="I20" t="s">
        <v>53</v>
      </c>
      <c r="J20" t="s">
        <v>53</v>
      </c>
      <c r="K20" t="s">
        <v>5</v>
      </c>
      <c r="L20" t="s">
        <v>17</v>
      </c>
      <c r="M20" t="s">
        <v>6</v>
      </c>
      <c r="N20" s="3">
        <v>1.5800000000000002E-2</v>
      </c>
      <c r="O20" s="4" t="s">
        <v>55</v>
      </c>
      <c r="P20" s="2" t="s">
        <v>55</v>
      </c>
      <c r="Q20" s="5">
        <v>0</v>
      </c>
      <c r="R20" s="5">
        <v>0</v>
      </c>
      <c r="S20" t="s">
        <v>37</v>
      </c>
    </row>
    <row r="21" spans="1:19">
      <c r="A21">
        <v>20</v>
      </c>
      <c r="B21">
        <v>1</v>
      </c>
      <c r="C21" t="s">
        <v>47</v>
      </c>
      <c r="D21">
        <v>1</v>
      </c>
      <c r="E21">
        <v>3</v>
      </c>
      <c r="F21">
        <v>3</v>
      </c>
      <c r="G21">
        <v>2</v>
      </c>
      <c r="H21">
        <v>3</v>
      </c>
      <c r="I21" t="s">
        <v>53</v>
      </c>
      <c r="J21" t="s">
        <v>53</v>
      </c>
      <c r="K21" t="s">
        <v>5</v>
      </c>
      <c r="L21" t="s">
        <v>17</v>
      </c>
      <c r="M21" t="s">
        <v>6</v>
      </c>
      <c r="N21" s="3">
        <v>1.04E-2</v>
      </c>
      <c r="O21" s="4" t="s">
        <v>55</v>
      </c>
      <c r="P21" s="2" t="s">
        <v>55</v>
      </c>
      <c r="Q21" s="5">
        <v>0</v>
      </c>
      <c r="R21" s="5">
        <v>0</v>
      </c>
      <c r="S21" t="s">
        <v>37</v>
      </c>
    </row>
    <row r="22" spans="1:19">
      <c r="A22">
        <v>21</v>
      </c>
      <c r="B22">
        <v>1</v>
      </c>
      <c r="C22" t="s">
        <v>47</v>
      </c>
      <c r="D22">
        <v>1</v>
      </c>
      <c r="E22">
        <v>4</v>
      </c>
      <c r="F22">
        <v>3</v>
      </c>
      <c r="G22">
        <v>1</v>
      </c>
      <c r="H22">
        <v>3</v>
      </c>
      <c r="I22" t="s">
        <v>53</v>
      </c>
      <c r="J22" t="s">
        <v>53</v>
      </c>
      <c r="K22" t="s">
        <v>5</v>
      </c>
      <c r="L22" t="s">
        <v>17</v>
      </c>
      <c r="M22" t="s">
        <v>6</v>
      </c>
      <c r="N22" s="3">
        <v>1.3899999999999999E-2</v>
      </c>
      <c r="O22" s="4" t="s">
        <v>55</v>
      </c>
      <c r="P22" s="2" t="s">
        <v>55</v>
      </c>
      <c r="Q22" s="5">
        <v>0</v>
      </c>
      <c r="R22" s="5">
        <v>0</v>
      </c>
      <c r="S22" t="s">
        <v>37</v>
      </c>
    </row>
    <row r="23" spans="1:19">
      <c r="A23">
        <v>22</v>
      </c>
      <c r="B23">
        <v>2</v>
      </c>
      <c r="C23" t="s">
        <v>47</v>
      </c>
      <c r="D23">
        <v>1</v>
      </c>
      <c r="E23">
        <v>5</v>
      </c>
      <c r="F23">
        <v>2</v>
      </c>
      <c r="G23">
        <v>2</v>
      </c>
      <c r="H23">
        <v>2</v>
      </c>
      <c r="I23" t="s">
        <v>53</v>
      </c>
      <c r="J23" t="s">
        <v>53</v>
      </c>
      <c r="K23" t="s">
        <v>5</v>
      </c>
      <c r="L23" t="s">
        <v>17</v>
      </c>
      <c r="M23" t="s">
        <v>6</v>
      </c>
      <c r="N23" s="3">
        <v>1.0200000000000001E-2</v>
      </c>
      <c r="O23" s="4" t="s">
        <v>55</v>
      </c>
      <c r="P23" s="2" t="s">
        <v>55</v>
      </c>
      <c r="Q23" s="5">
        <v>0</v>
      </c>
      <c r="R23" s="5">
        <v>0</v>
      </c>
      <c r="S23" t="s">
        <v>37</v>
      </c>
    </row>
    <row r="24" spans="1:19">
      <c r="A24">
        <v>23</v>
      </c>
      <c r="B24">
        <v>2</v>
      </c>
      <c r="C24" t="s">
        <v>47</v>
      </c>
      <c r="D24">
        <v>1</v>
      </c>
      <c r="E24">
        <v>6</v>
      </c>
      <c r="F24">
        <v>3</v>
      </c>
      <c r="G24">
        <v>2</v>
      </c>
      <c r="H24">
        <v>3</v>
      </c>
      <c r="I24" t="s">
        <v>53</v>
      </c>
      <c r="J24" t="s">
        <v>53</v>
      </c>
      <c r="K24" t="s">
        <v>5</v>
      </c>
      <c r="L24" t="s">
        <v>17</v>
      </c>
      <c r="M24" t="s">
        <v>6</v>
      </c>
      <c r="N24" s="3">
        <v>9.5999999999999992E-3</v>
      </c>
      <c r="O24" s="4" t="s">
        <v>55</v>
      </c>
      <c r="P24" s="2" t="s">
        <v>55</v>
      </c>
      <c r="Q24" s="5">
        <v>0</v>
      </c>
      <c r="R24" s="5">
        <v>0</v>
      </c>
      <c r="S24" t="s">
        <v>37</v>
      </c>
    </row>
    <row r="25" spans="1:19">
      <c r="A25">
        <v>24</v>
      </c>
      <c r="B25">
        <v>1</v>
      </c>
      <c r="C25" t="s">
        <v>47</v>
      </c>
      <c r="D25">
        <v>2</v>
      </c>
      <c r="E25">
        <v>1</v>
      </c>
      <c r="F25">
        <v>2</v>
      </c>
      <c r="G25">
        <v>2</v>
      </c>
      <c r="H25">
        <v>2</v>
      </c>
      <c r="I25">
        <v>4</v>
      </c>
      <c r="J25">
        <v>6</v>
      </c>
      <c r="K25">
        <f>F25+G25+H25+I25+J25</f>
        <v>16</v>
      </c>
      <c r="L25">
        <f>I25-(D25)+1</f>
        <v>3</v>
      </c>
      <c r="M25">
        <f>I25+J25-D25+1</f>
        <v>9</v>
      </c>
      <c r="N25" s="3">
        <v>2.1999999999999999E-2</v>
      </c>
      <c r="O25" s="3">
        <v>1.29E-2</v>
      </c>
      <c r="P25" t="s">
        <v>57</v>
      </c>
      <c r="Q25" s="5">
        <v>1</v>
      </c>
      <c r="R25" s="5">
        <v>1</v>
      </c>
    </row>
    <row r="26" spans="1:19">
      <c r="A26">
        <v>25</v>
      </c>
      <c r="B26">
        <v>1</v>
      </c>
      <c r="C26" t="s">
        <v>48</v>
      </c>
      <c r="D26">
        <v>2</v>
      </c>
      <c r="E26">
        <v>2</v>
      </c>
      <c r="F26">
        <v>3</v>
      </c>
      <c r="G26">
        <v>1</v>
      </c>
      <c r="H26">
        <v>2</v>
      </c>
      <c r="I26" t="s">
        <v>53</v>
      </c>
      <c r="J26" t="s">
        <v>53</v>
      </c>
      <c r="K26" t="s">
        <v>5</v>
      </c>
      <c r="L26" t="s">
        <v>17</v>
      </c>
      <c r="M26" t="s">
        <v>6</v>
      </c>
      <c r="N26" s="3">
        <v>1.5699999999999999E-2</v>
      </c>
      <c r="O26" s="4" t="s">
        <v>55</v>
      </c>
      <c r="P26" s="2" t="s">
        <v>55</v>
      </c>
      <c r="Q26" s="5">
        <v>0</v>
      </c>
      <c r="R26" s="5">
        <v>0</v>
      </c>
      <c r="S26" t="s">
        <v>37</v>
      </c>
    </row>
    <row r="27" spans="1:19">
      <c r="A27">
        <v>26</v>
      </c>
      <c r="B27">
        <v>1</v>
      </c>
      <c r="C27" t="s">
        <v>47</v>
      </c>
      <c r="D27">
        <v>2</v>
      </c>
      <c r="E27">
        <v>3</v>
      </c>
      <c r="F27">
        <v>2</v>
      </c>
      <c r="G27">
        <v>2</v>
      </c>
      <c r="H27">
        <v>2</v>
      </c>
      <c r="I27">
        <v>6</v>
      </c>
      <c r="J27">
        <v>6</v>
      </c>
      <c r="K27">
        <f>F27+G27+H27+I27+J27</f>
        <v>18</v>
      </c>
      <c r="L27">
        <f>I27-(D27)+1</f>
        <v>5</v>
      </c>
      <c r="M27">
        <f>I27+J27-D27+1</f>
        <v>11</v>
      </c>
      <c r="N27" s="3">
        <v>1.9599999999999999E-2</v>
      </c>
      <c r="O27" s="3">
        <v>1.0699999999999999E-2</v>
      </c>
      <c r="P27" t="s">
        <v>57</v>
      </c>
      <c r="Q27" s="5">
        <v>1</v>
      </c>
      <c r="R27" s="5">
        <v>1</v>
      </c>
    </row>
    <row r="28" spans="1:19">
      <c r="A28">
        <v>27</v>
      </c>
      <c r="B28">
        <v>2</v>
      </c>
      <c r="C28" t="s">
        <v>48</v>
      </c>
      <c r="D28">
        <v>2</v>
      </c>
      <c r="E28">
        <v>4</v>
      </c>
      <c r="F28">
        <v>2</v>
      </c>
      <c r="G28">
        <v>2</v>
      </c>
      <c r="H28">
        <v>2</v>
      </c>
      <c r="I28">
        <v>4</v>
      </c>
      <c r="J28">
        <v>7</v>
      </c>
      <c r="K28">
        <f>F28+G28+H28+I28+J28</f>
        <v>17</v>
      </c>
      <c r="L28">
        <f>I28-(D28)+1</f>
        <v>3</v>
      </c>
      <c r="M28">
        <f>I28+J28-D28+1</f>
        <v>10</v>
      </c>
      <c r="N28" s="3">
        <v>2.01E-2</v>
      </c>
      <c r="O28" s="3">
        <v>1.09E-2</v>
      </c>
      <c r="P28" t="s">
        <v>57</v>
      </c>
      <c r="Q28" s="5">
        <v>1</v>
      </c>
      <c r="R28" s="5">
        <v>1</v>
      </c>
    </row>
    <row r="29" spans="1:19">
      <c r="A29">
        <v>28</v>
      </c>
      <c r="B29">
        <v>2</v>
      </c>
      <c r="C29" t="s">
        <v>47</v>
      </c>
      <c r="D29">
        <v>2</v>
      </c>
      <c r="E29">
        <v>5</v>
      </c>
      <c r="F29">
        <v>3</v>
      </c>
      <c r="G29">
        <v>1</v>
      </c>
      <c r="H29">
        <v>3</v>
      </c>
      <c r="I29">
        <v>3</v>
      </c>
      <c r="J29">
        <v>6</v>
      </c>
      <c r="K29">
        <f>F29+G29+H29+I29+J29</f>
        <v>16</v>
      </c>
      <c r="L29">
        <f>I29-(D29)+1</f>
        <v>2</v>
      </c>
      <c r="M29">
        <f>I29+J29-D29+1</f>
        <v>8</v>
      </c>
      <c r="N29" s="3">
        <v>3.2599999999999997E-2</v>
      </c>
      <c r="O29" s="3">
        <v>1.7999999999999999E-2</v>
      </c>
      <c r="P29" t="s">
        <v>56</v>
      </c>
      <c r="Q29" s="5">
        <v>1</v>
      </c>
      <c r="R29" s="5">
        <v>1</v>
      </c>
    </row>
    <row r="30" spans="1:19">
      <c r="A30">
        <v>29</v>
      </c>
      <c r="B30">
        <v>2</v>
      </c>
      <c r="C30" t="s">
        <v>48</v>
      </c>
      <c r="D30">
        <v>2</v>
      </c>
      <c r="E30">
        <v>6</v>
      </c>
      <c r="F30">
        <v>2</v>
      </c>
      <c r="G30">
        <v>2</v>
      </c>
      <c r="H30">
        <v>2</v>
      </c>
      <c r="I30">
        <v>4</v>
      </c>
      <c r="J30">
        <v>6</v>
      </c>
      <c r="K30">
        <f>F30+G30+H30+I30+J30</f>
        <v>16</v>
      </c>
      <c r="L30">
        <f>I30-(D30)+1</f>
        <v>3</v>
      </c>
      <c r="M30">
        <f>I30+J30-D30+1</f>
        <v>9</v>
      </c>
      <c r="N30" s="3">
        <v>2.4500000000000001E-2</v>
      </c>
      <c r="O30" s="3">
        <v>1.21E-2</v>
      </c>
      <c r="P30" t="s">
        <v>57</v>
      </c>
      <c r="Q30" s="5">
        <v>1</v>
      </c>
      <c r="R30" s="5">
        <v>1</v>
      </c>
    </row>
    <row r="31" spans="1:19">
      <c r="A31">
        <v>30</v>
      </c>
      <c r="B31">
        <v>3</v>
      </c>
      <c r="C31" t="s">
        <v>43</v>
      </c>
      <c r="D31" t="s">
        <v>44</v>
      </c>
      <c r="E31">
        <v>7</v>
      </c>
      <c r="F31">
        <v>3</v>
      </c>
      <c r="G31">
        <v>1</v>
      </c>
      <c r="H31">
        <v>3</v>
      </c>
      <c r="I31">
        <v>3</v>
      </c>
      <c r="J31">
        <v>6</v>
      </c>
      <c r="K31">
        <f>F31+G31+H31+I31+J31</f>
        <v>16</v>
      </c>
      <c r="L31" t="s">
        <v>17</v>
      </c>
      <c r="M31" t="s">
        <v>6</v>
      </c>
      <c r="N31" s="3">
        <v>1.49E-2</v>
      </c>
      <c r="O31" s="3">
        <v>1.8100000000000002E-2</v>
      </c>
      <c r="P31" t="s">
        <v>0</v>
      </c>
      <c r="Q31" s="5">
        <v>1</v>
      </c>
      <c r="R31" s="5">
        <v>1</v>
      </c>
    </row>
    <row r="32" spans="1:19">
      <c r="A32">
        <v>31</v>
      </c>
      <c r="B32">
        <v>3</v>
      </c>
      <c r="C32" t="s">
        <v>43</v>
      </c>
      <c r="D32" t="s">
        <v>44</v>
      </c>
      <c r="E32">
        <v>8</v>
      </c>
      <c r="F32">
        <v>3</v>
      </c>
      <c r="G32">
        <v>1</v>
      </c>
      <c r="H32">
        <v>3</v>
      </c>
      <c r="I32">
        <v>3</v>
      </c>
      <c r="J32">
        <v>6</v>
      </c>
      <c r="K32">
        <f>F32+G32+H32+I32+J32</f>
        <v>16</v>
      </c>
      <c r="L32" t="s">
        <v>17</v>
      </c>
      <c r="M32" t="s">
        <v>6</v>
      </c>
      <c r="N32" s="3">
        <v>1.7600000000000001E-2</v>
      </c>
      <c r="O32" s="3">
        <v>2.4500000000000001E-2</v>
      </c>
      <c r="P32" t="s">
        <v>1</v>
      </c>
      <c r="Q32" s="5">
        <v>1</v>
      </c>
      <c r="R32" s="5">
        <v>1</v>
      </c>
    </row>
    <row r="33" spans="1:19">
      <c r="A33">
        <v>32</v>
      </c>
      <c r="B33">
        <v>3</v>
      </c>
      <c r="C33" t="s">
        <v>43</v>
      </c>
      <c r="D33" t="s">
        <v>44</v>
      </c>
      <c r="E33">
        <v>9</v>
      </c>
      <c r="F33">
        <v>3</v>
      </c>
      <c r="G33">
        <v>1</v>
      </c>
      <c r="H33">
        <v>2</v>
      </c>
      <c r="I33">
        <v>4</v>
      </c>
      <c r="J33">
        <v>6</v>
      </c>
      <c r="K33">
        <f>F33+G33+H33+I33+J33</f>
        <v>16</v>
      </c>
      <c r="L33" t="s">
        <v>17</v>
      </c>
      <c r="M33" t="s">
        <v>6</v>
      </c>
      <c r="N33" s="3">
        <v>1.6E-2</v>
      </c>
      <c r="O33" s="3">
        <v>2.4799999999999999E-2</v>
      </c>
      <c r="P33" t="s">
        <v>1</v>
      </c>
      <c r="Q33" s="5">
        <v>1</v>
      </c>
      <c r="R33" s="5">
        <v>1</v>
      </c>
    </row>
    <row r="34" spans="1:19">
      <c r="A34">
        <v>33</v>
      </c>
      <c r="B34">
        <v>3</v>
      </c>
      <c r="C34" t="s">
        <v>43</v>
      </c>
      <c r="D34" t="s">
        <v>44</v>
      </c>
      <c r="E34">
        <v>10</v>
      </c>
      <c r="F34">
        <v>2</v>
      </c>
      <c r="G34">
        <v>2</v>
      </c>
      <c r="H34">
        <v>3</v>
      </c>
      <c r="I34">
        <v>3</v>
      </c>
      <c r="J34">
        <v>6</v>
      </c>
      <c r="K34">
        <f>F34+G34+H34+I34+J34</f>
        <v>16</v>
      </c>
      <c r="L34" t="s">
        <v>17</v>
      </c>
      <c r="M34" t="s">
        <v>6</v>
      </c>
      <c r="N34" s="3">
        <v>1.38E-2</v>
      </c>
      <c r="O34" s="3">
        <v>2.0500000000000001E-2</v>
      </c>
      <c r="P34" t="s">
        <v>1</v>
      </c>
      <c r="Q34" s="5">
        <v>1</v>
      </c>
      <c r="R34" s="5">
        <v>1</v>
      </c>
    </row>
    <row r="35" spans="1:19">
      <c r="A35">
        <v>34</v>
      </c>
      <c r="B35">
        <v>3</v>
      </c>
      <c r="C35" t="s">
        <v>45</v>
      </c>
      <c r="D35">
        <v>1</v>
      </c>
      <c r="E35">
        <v>7</v>
      </c>
      <c r="F35">
        <v>3</v>
      </c>
      <c r="G35">
        <v>2</v>
      </c>
      <c r="H35">
        <v>1</v>
      </c>
      <c r="I35" t="s">
        <v>53</v>
      </c>
      <c r="J35" t="s">
        <v>53</v>
      </c>
      <c r="K35" t="s">
        <v>5</v>
      </c>
      <c r="L35" t="s">
        <v>17</v>
      </c>
      <c r="M35" t="s">
        <v>6</v>
      </c>
      <c r="N35" s="3">
        <v>6.6E-3</v>
      </c>
      <c r="O35" s="3" t="s">
        <v>55</v>
      </c>
      <c r="P35" t="s">
        <v>55</v>
      </c>
      <c r="Q35" s="5">
        <v>0</v>
      </c>
      <c r="R35" s="5">
        <v>0</v>
      </c>
      <c r="S35" t="s">
        <v>39</v>
      </c>
    </row>
    <row r="36" spans="1:19">
      <c r="A36">
        <v>35</v>
      </c>
      <c r="B36">
        <v>3</v>
      </c>
      <c r="C36" t="s">
        <v>45</v>
      </c>
      <c r="D36">
        <v>1</v>
      </c>
      <c r="E36">
        <v>8</v>
      </c>
      <c r="F36">
        <v>2</v>
      </c>
      <c r="G36">
        <v>2</v>
      </c>
      <c r="H36">
        <v>2</v>
      </c>
      <c r="I36" t="s">
        <v>53</v>
      </c>
      <c r="J36" t="s">
        <v>53</v>
      </c>
      <c r="K36" t="s">
        <v>5</v>
      </c>
      <c r="L36" t="s">
        <v>17</v>
      </c>
      <c r="M36" t="s">
        <v>6</v>
      </c>
      <c r="N36" s="3">
        <v>8.3000000000000001E-3</v>
      </c>
      <c r="O36" s="3" t="s">
        <v>55</v>
      </c>
      <c r="P36" t="s">
        <v>55</v>
      </c>
      <c r="Q36" s="5">
        <v>0</v>
      </c>
      <c r="R36" s="5">
        <v>0</v>
      </c>
      <c r="S36" t="s">
        <v>39</v>
      </c>
    </row>
    <row r="37" spans="1:19">
      <c r="A37">
        <v>36</v>
      </c>
      <c r="B37">
        <v>3</v>
      </c>
      <c r="C37" t="s">
        <v>45</v>
      </c>
      <c r="D37">
        <v>1</v>
      </c>
      <c r="E37">
        <v>9</v>
      </c>
      <c r="F37">
        <v>3</v>
      </c>
      <c r="G37">
        <v>1</v>
      </c>
      <c r="H37">
        <v>3</v>
      </c>
      <c r="I37">
        <v>8</v>
      </c>
      <c r="J37">
        <v>6</v>
      </c>
      <c r="K37">
        <f>F37+G37+H37+I37+J37</f>
        <v>21</v>
      </c>
      <c r="L37">
        <f>I37-(D37)+1</f>
        <v>8</v>
      </c>
      <c r="M37">
        <f>I37+J37-D37+1</f>
        <v>14</v>
      </c>
      <c r="N37" s="3">
        <v>1.52E-2</v>
      </c>
      <c r="O37" s="3">
        <v>9.4999999999999998E-3</v>
      </c>
      <c r="P37" t="s">
        <v>1</v>
      </c>
      <c r="Q37" s="5">
        <v>1</v>
      </c>
      <c r="R37" s="5">
        <v>1</v>
      </c>
    </row>
    <row r="38" spans="1:19">
      <c r="A38">
        <v>37</v>
      </c>
      <c r="B38">
        <v>3</v>
      </c>
      <c r="C38" t="s">
        <v>45</v>
      </c>
      <c r="D38">
        <v>1</v>
      </c>
      <c r="E38">
        <v>10</v>
      </c>
      <c r="F38">
        <v>3</v>
      </c>
      <c r="G38">
        <v>2</v>
      </c>
      <c r="H38">
        <v>2</v>
      </c>
      <c r="I38">
        <v>10</v>
      </c>
      <c r="J38">
        <v>6</v>
      </c>
      <c r="K38">
        <f>F38+G38+H38+I38+J38</f>
        <v>23</v>
      </c>
      <c r="L38">
        <f>I38-(D38)+1</f>
        <v>10</v>
      </c>
      <c r="M38">
        <f>I38+J38-D38+1</f>
        <v>16</v>
      </c>
      <c r="N38" s="3">
        <v>1.3599999999999999E-2</v>
      </c>
      <c r="O38" s="3">
        <v>8.2000000000000007E-3</v>
      </c>
      <c r="P38" t="s">
        <v>2</v>
      </c>
      <c r="Q38" s="5">
        <v>1</v>
      </c>
      <c r="R38" s="5">
        <v>1</v>
      </c>
    </row>
    <row r="39" spans="1:19">
      <c r="A39">
        <v>38</v>
      </c>
      <c r="B39">
        <v>3</v>
      </c>
      <c r="C39" t="s">
        <v>46</v>
      </c>
      <c r="D39">
        <v>2</v>
      </c>
      <c r="E39">
        <v>6</v>
      </c>
      <c r="F39">
        <v>3</v>
      </c>
      <c r="G39">
        <v>1</v>
      </c>
      <c r="H39">
        <v>2</v>
      </c>
      <c r="I39">
        <v>6</v>
      </c>
      <c r="J39">
        <v>6</v>
      </c>
      <c r="K39">
        <f>F39+G39+H39+I39+J39</f>
        <v>18</v>
      </c>
      <c r="L39">
        <f>I39-(D39)+1</f>
        <v>5</v>
      </c>
      <c r="M39">
        <f>I39+J39-D39+1</f>
        <v>11</v>
      </c>
      <c r="N39" s="3">
        <v>1.5900000000000001E-2</v>
      </c>
      <c r="O39" s="3">
        <v>1.15E-2</v>
      </c>
      <c r="P39" t="s">
        <v>1</v>
      </c>
      <c r="Q39" s="5">
        <v>1</v>
      </c>
      <c r="R39" s="5">
        <v>1</v>
      </c>
    </row>
    <row r="40" spans="1:19">
      <c r="A40">
        <v>39</v>
      </c>
      <c r="B40">
        <v>3</v>
      </c>
      <c r="C40" t="s">
        <v>46</v>
      </c>
      <c r="D40">
        <v>2</v>
      </c>
      <c r="E40">
        <v>7</v>
      </c>
      <c r="F40">
        <v>3</v>
      </c>
      <c r="G40">
        <v>1</v>
      </c>
      <c r="H40">
        <v>3</v>
      </c>
      <c r="I40">
        <v>3</v>
      </c>
      <c r="J40">
        <v>6</v>
      </c>
      <c r="K40">
        <f>F40+G40+H40+I40+J40</f>
        <v>16</v>
      </c>
      <c r="L40">
        <f>I40-(D40)+1</f>
        <v>2</v>
      </c>
      <c r="M40">
        <f>I40+J40-D40+1</f>
        <v>8</v>
      </c>
      <c r="N40" s="3">
        <v>2.7900000000000001E-2</v>
      </c>
      <c r="O40" s="3">
        <v>1.89E-2</v>
      </c>
      <c r="P40" t="s">
        <v>1</v>
      </c>
      <c r="Q40" s="5">
        <v>1</v>
      </c>
      <c r="R40" s="5">
        <v>1</v>
      </c>
    </row>
    <row r="41" spans="1:19">
      <c r="A41">
        <v>40</v>
      </c>
      <c r="B41">
        <v>3</v>
      </c>
      <c r="C41" t="s">
        <v>46</v>
      </c>
      <c r="D41">
        <v>2</v>
      </c>
      <c r="E41">
        <v>8</v>
      </c>
      <c r="F41">
        <v>2</v>
      </c>
      <c r="G41">
        <v>2</v>
      </c>
      <c r="H41">
        <v>2</v>
      </c>
      <c r="I41">
        <v>5</v>
      </c>
      <c r="J41">
        <v>6</v>
      </c>
      <c r="K41">
        <f>F41+G41+H41+I41+J41</f>
        <v>17</v>
      </c>
      <c r="L41">
        <f>I41-(D41)+1</f>
        <v>4</v>
      </c>
      <c r="M41">
        <f>I41+J41-D41+1</f>
        <v>10</v>
      </c>
      <c r="N41" s="3">
        <v>1.9900000000000001E-2</v>
      </c>
      <c r="O41" s="3">
        <v>1.0999999999999999E-2</v>
      </c>
      <c r="P41" t="s">
        <v>1</v>
      </c>
      <c r="Q41" s="5">
        <v>1</v>
      </c>
      <c r="R41" s="5">
        <v>1</v>
      </c>
    </row>
    <row r="42" spans="1:19">
      <c r="A42">
        <v>41</v>
      </c>
      <c r="B42">
        <v>3</v>
      </c>
      <c r="C42" t="s">
        <v>46</v>
      </c>
      <c r="D42">
        <v>2</v>
      </c>
      <c r="E42">
        <v>9</v>
      </c>
      <c r="F42">
        <v>3</v>
      </c>
      <c r="G42">
        <v>1</v>
      </c>
      <c r="H42">
        <v>2</v>
      </c>
      <c r="I42" t="s">
        <v>53</v>
      </c>
      <c r="J42" t="s">
        <v>53</v>
      </c>
      <c r="K42" t="s">
        <v>5</v>
      </c>
      <c r="L42" t="s">
        <v>17</v>
      </c>
      <c r="M42" t="s">
        <v>6</v>
      </c>
      <c r="N42" s="3">
        <v>1.84E-2</v>
      </c>
      <c r="O42" s="3" t="s">
        <v>55</v>
      </c>
      <c r="P42" t="s">
        <v>55</v>
      </c>
      <c r="Q42" s="5">
        <v>0</v>
      </c>
      <c r="R42" s="5">
        <v>0</v>
      </c>
      <c r="S42" t="s">
        <v>39</v>
      </c>
    </row>
    <row r="43" spans="1:19">
      <c r="A43">
        <v>42</v>
      </c>
      <c r="B43">
        <v>3</v>
      </c>
      <c r="C43" t="s">
        <v>47</v>
      </c>
      <c r="D43">
        <v>1</v>
      </c>
      <c r="E43">
        <v>7</v>
      </c>
      <c r="F43">
        <v>3</v>
      </c>
      <c r="G43">
        <v>1</v>
      </c>
      <c r="H43">
        <v>2</v>
      </c>
      <c r="I43" t="s">
        <v>53</v>
      </c>
      <c r="J43" t="s">
        <v>53</v>
      </c>
      <c r="K43" t="s">
        <v>5</v>
      </c>
      <c r="L43" t="s">
        <v>17</v>
      </c>
      <c r="M43" t="s">
        <v>6</v>
      </c>
      <c r="N43" s="3">
        <v>1.6400000000000001E-2</v>
      </c>
      <c r="O43" s="3" t="s">
        <v>55</v>
      </c>
      <c r="P43" t="s">
        <v>55</v>
      </c>
      <c r="Q43" s="5">
        <v>0</v>
      </c>
      <c r="R43" s="5">
        <v>0</v>
      </c>
      <c r="S43" t="s">
        <v>39</v>
      </c>
    </row>
    <row r="44" spans="1:19">
      <c r="A44">
        <v>43</v>
      </c>
      <c r="B44">
        <v>3</v>
      </c>
      <c r="C44" t="s">
        <v>47</v>
      </c>
      <c r="D44">
        <v>1</v>
      </c>
      <c r="E44">
        <v>8</v>
      </c>
      <c r="F44">
        <v>2</v>
      </c>
      <c r="G44">
        <v>2</v>
      </c>
      <c r="H44">
        <v>2</v>
      </c>
      <c r="I44" t="s">
        <v>53</v>
      </c>
      <c r="J44" t="s">
        <v>53</v>
      </c>
      <c r="K44" t="s">
        <v>5</v>
      </c>
      <c r="L44" t="s">
        <v>17</v>
      </c>
      <c r="M44" t="s">
        <v>6</v>
      </c>
      <c r="N44" s="3">
        <v>1.4999999999999999E-2</v>
      </c>
      <c r="O44" s="3" t="s">
        <v>55</v>
      </c>
      <c r="P44" t="s">
        <v>55</v>
      </c>
      <c r="Q44" s="5">
        <v>0</v>
      </c>
      <c r="R44" s="5">
        <v>0</v>
      </c>
      <c r="S44" t="s">
        <v>39</v>
      </c>
    </row>
    <row r="45" spans="1:19">
      <c r="A45">
        <v>44</v>
      </c>
      <c r="B45">
        <v>3</v>
      </c>
      <c r="C45" t="s">
        <v>47</v>
      </c>
      <c r="D45">
        <v>1</v>
      </c>
      <c r="E45">
        <v>9</v>
      </c>
      <c r="F45">
        <v>3</v>
      </c>
      <c r="G45">
        <v>1</v>
      </c>
      <c r="H45">
        <v>3</v>
      </c>
      <c r="I45">
        <v>4</v>
      </c>
      <c r="J45">
        <v>6</v>
      </c>
      <c r="K45">
        <f>F45+G45+H45+I45+J45</f>
        <v>17</v>
      </c>
      <c r="L45">
        <f>I45-(D45)+1</f>
        <v>4</v>
      </c>
      <c r="M45">
        <f>I45+J45-D45+1</f>
        <v>10</v>
      </c>
      <c r="N45" s="3">
        <v>1.84E-2</v>
      </c>
      <c r="O45" s="3">
        <v>1.0200000000000001E-2</v>
      </c>
      <c r="P45" t="s">
        <v>3</v>
      </c>
      <c r="Q45" s="5">
        <v>1</v>
      </c>
      <c r="R45" s="5">
        <v>1</v>
      </c>
    </row>
    <row r="46" spans="1:19">
      <c r="A46">
        <v>45</v>
      </c>
      <c r="B46">
        <v>3</v>
      </c>
      <c r="C46" t="s">
        <v>47</v>
      </c>
      <c r="D46">
        <v>1</v>
      </c>
      <c r="E46">
        <v>10</v>
      </c>
      <c r="F46">
        <v>3</v>
      </c>
      <c r="G46">
        <v>1</v>
      </c>
      <c r="H46">
        <v>2</v>
      </c>
      <c r="I46" t="s">
        <v>53</v>
      </c>
      <c r="J46" t="s">
        <v>53</v>
      </c>
      <c r="K46" t="s">
        <v>5</v>
      </c>
      <c r="L46" t="s">
        <v>17</v>
      </c>
      <c r="M46" t="s">
        <v>6</v>
      </c>
      <c r="N46" s="3">
        <v>1.7000000000000001E-2</v>
      </c>
      <c r="O46" s="3" t="s">
        <v>55</v>
      </c>
      <c r="P46" t="s">
        <v>55</v>
      </c>
      <c r="Q46" s="5">
        <v>0</v>
      </c>
      <c r="R46" s="5">
        <v>0</v>
      </c>
      <c r="S46" t="s">
        <v>39</v>
      </c>
    </row>
    <row r="47" spans="1:19">
      <c r="A47">
        <v>46</v>
      </c>
      <c r="B47">
        <v>3</v>
      </c>
      <c r="C47" t="s">
        <v>47</v>
      </c>
      <c r="D47">
        <v>2</v>
      </c>
      <c r="E47">
        <v>7</v>
      </c>
      <c r="F47">
        <v>3</v>
      </c>
      <c r="G47">
        <v>1</v>
      </c>
      <c r="H47">
        <v>3</v>
      </c>
      <c r="I47">
        <v>3</v>
      </c>
      <c r="J47">
        <v>6</v>
      </c>
      <c r="K47">
        <f>F47+G47+H47+I47+J47</f>
        <v>16</v>
      </c>
      <c r="L47">
        <f>I47-(D47)+1</f>
        <v>2</v>
      </c>
      <c r="M47">
        <f>I47+J47-D47+1</f>
        <v>8</v>
      </c>
      <c r="N47" s="3">
        <v>2.8199999999999999E-2</v>
      </c>
      <c r="O47" s="3">
        <v>1.8800000000000001E-2</v>
      </c>
      <c r="P47" t="s">
        <v>4</v>
      </c>
      <c r="Q47" s="5">
        <v>1</v>
      </c>
      <c r="R47" s="5">
        <v>1</v>
      </c>
    </row>
    <row r="48" spans="1:19">
      <c r="A48">
        <v>47</v>
      </c>
      <c r="B48">
        <v>3</v>
      </c>
      <c r="C48" t="s">
        <v>48</v>
      </c>
      <c r="D48">
        <v>2</v>
      </c>
      <c r="E48">
        <v>8</v>
      </c>
      <c r="F48">
        <v>2</v>
      </c>
      <c r="G48">
        <v>2</v>
      </c>
      <c r="H48">
        <v>2</v>
      </c>
      <c r="I48">
        <v>4</v>
      </c>
      <c r="J48">
        <v>6</v>
      </c>
      <c r="K48">
        <f>F48+G48+H48+I48+J48</f>
        <v>16</v>
      </c>
      <c r="L48">
        <f>I48-(D48)+1</f>
        <v>3</v>
      </c>
      <c r="M48">
        <f>I48+J48-D48+1</f>
        <v>9</v>
      </c>
      <c r="N48" s="3">
        <v>2.0799999999999999E-2</v>
      </c>
      <c r="O48" s="3">
        <v>1.2999999999999999E-2</v>
      </c>
      <c r="P48" t="s">
        <v>0</v>
      </c>
      <c r="Q48" s="5">
        <v>1</v>
      </c>
      <c r="R48" s="5">
        <v>1</v>
      </c>
    </row>
    <row r="49" spans="1:19">
      <c r="A49">
        <v>48</v>
      </c>
      <c r="B49">
        <v>3</v>
      </c>
      <c r="C49" t="s">
        <v>47</v>
      </c>
      <c r="D49">
        <v>2</v>
      </c>
      <c r="E49">
        <v>9</v>
      </c>
      <c r="F49">
        <v>2</v>
      </c>
      <c r="G49">
        <v>2</v>
      </c>
      <c r="H49">
        <v>2</v>
      </c>
      <c r="I49" t="s">
        <v>53</v>
      </c>
      <c r="J49" t="s">
        <v>53</v>
      </c>
      <c r="K49" t="s">
        <v>5</v>
      </c>
      <c r="L49" t="s">
        <v>17</v>
      </c>
      <c r="M49" t="s">
        <v>6</v>
      </c>
      <c r="N49" s="3">
        <v>1.43E-2</v>
      </c>
      <c r="O49" s="3" t="s">
        <v>55</v>
      </c>
      <c r="P49" t="s">
        <v>55</v>
      </c>
      <c r="Q49" s="5">
        <v>0</v>
      </c>
      <c r="R49" s="5">
        <v>0</v>
      </c>
      <c r="S49" t="s">
        <v>40</v>
      </c>
    </row>
    <row r="50" spans="1:19">
      <c r="A50">
        <v>49</v>
      </c>
      <c r="B50">
        <v>3</v>
      </c>
      <c r="C50" t="s">
        <v>48</v>
      </c>
      <c r="D50">
        <v>2</v>
      </c>
      <c r="E50">
        <v>10</v>
      </c>
      <c r="F50">
        <v>3</v>
      </c>
      <c r="G50">
        <v>2</v>
      </c>
      <c r="H50">
        <v>2</v>
      </c>
      <c r="I50">
        <v>3</v>
      </c>
      <c r="J50">
        <v>6</v>
      </c>
      <c r="K50">
        <f>F50+G50+H50+I50+J50</f>
        <v>16</v>
      </c>
      <c r="L50">
        <f>I50-(D50)+1</f>
        <v>2</v>
      </c>
      <c r="M50">
        <f>I50+J50-D50+1</f>
        <v>8</v>
      </c>
      <c r="N50" s="3">
        <v>2.9000000000000001E-2</v>
      </c>
      <c r="O50" s="3">
        <v>1.9800000000000002E-2</v>
      </c>
      <c r="P50" t="s">
        <v>2</v>
      </c>
      <c r="Q50" s="5">
        <v>1</v>
      </c>
      <c r="R50" s="5">
        <v>1</v>
      </c>
    </row>
    <row r="51" spans="1:19">
      <c r="A51">
        <v>50</v>
      </c>
      <c r="B51">
        <v>4</v>
      </c>
      <c r="C51" t="s">
        <v>43</v>
      </c>
      <c r="D51" t="s">
        <v>44</v>
      </c>
      <c r="E51">
        <v>11</v>
      </c>
      <c r="F51">
        <v>3</v>
      </c>
      <c r="G51">
        <v>1</v>
      </c>
      <c r="H51">
        <v>2</v>
      </c>
      <c r="I51">
        <v>4</v>
      </c>
      <c r="J51">
        <v>6</v>
      </c>
      <c r="K51">
        <f>F51+G51+H51+I51+J51</f>
        <v>16</v>
      </c>
      <c r="L51" t="s">
        <v>17</v>
      </c>
      <c r="M51" t="s">
        <v>6</v>
      </c>
      <c r="N51" s="3">
        <v>1.4500000000000001E-2</v>
      </c>
      <c r="O51" s="3">
        <v>3.04E-2</v>
      </c>
      <c r="P51" t="s">
        <v>18</v>
      </c>
      <c r="Q51" s="5">
        <v>1</v>
      </c>
      <c r="R51" s="5">
        <v>1</v>
      </c>
    </row>
    <row r="52" spans="1:19">
      <c r="A52">
        <v>51</v>
      </c>
      <c r="B52">
        <v>4</v>
      </c>
      <c r="C52" t="s">
        <v>43</v>
      </c>
      <c r="D52" t="s">
        <v>44</v>
      </c>
      <c r="E52">
        <v>12</v>
      </c>
      <c r="F52">
        <v>3</v>
      </c>
      <c r="G52">
        <v>1</v>
      </c>
      <c r="H52">
        <v>2</v>
      </c>
      <c r="I52">
        <v>4</v>
      </c>
      <c r="J52">
        <v>6</v>
      </c>
      <c r="K52">
        <f>F52+G52+H52+I52+J52</f>
        <v>16</v>
      </c>
      <c r="L52" t="s">
        <v>17</v>
      </c>
      <c r="M52" t="s">
        <v>6</v>
      </c>
      <c r="N52" s="3">
        <v>1.5800000000000002E-2</v>
      </c>
      <c r="O52" s="3">
        <v>2.8199999999999999E-2</v>
      </c>
      <c r="P52" t="s">
        <v>21</v>
      </c>
      <c r="Q52" s="5">
        <v>1</v>
      </c>
      <c r="R52" s="5">
        <v>1</v>
      </c>
    </row>
    <row r="53" spans="1:19">
      <c r="A53">
        <v>52</v>
      </c>
      <c r="B53">
        <v>4</v>
      </c>
      <c r="C53" t="s">
        <v>43</v>
      </c>
      <c r="D53" t="s">
        <v>44</v>
      </c>
      <c r="E53">
        <v>13</v>
      </c>
      <c r="F53">
        <v>3</v>
      </c>
      <c r="G53">
        <v>1</v>
      </c>
      <c r="H53">
        <v>2</v>
      </c>
      <c r="I53">
        <v>4</v>
      </c>
      <c r="J53">
        <v>6</v>
      </c>
      <c r="K53">
        <f>F53+G53+H53+I53+J53</f>
        <v>16</v>
      </c>
      <c r="L53" t="s">
        <v>17</v>
      </c>
      <c r="M53" t="s">
        <v>6</v>
      </c>
      <c r="N53" s="3">
        <v>1.14E-2</v>
      </c>
      <c r="O53" s="3">
        <v>2.92E-2</v>
      </c>
      <c r="P53" t="s">
        <v>21</v>
      </c>
      <c r="Q53" s="5">
        <v>1</v>
      </c>
      <c r="R53" s="5">
        <v>1</v>
      </c>
    </row>
    <row r="54" spans="1:19">
      <c r="A54">
        <v>53</v>
      </c>
      <c r="B54">
        <v>4</v>
      </c>
      <c r="C54" t="s">
        <v>43</v>
      </c>
      <c r="D54" t="s">
        <v>44</v>
      </c>
      <c r="E54">
        <v>14</v>
      </c>
      <c r="F54">
        <v>3</v>
      </c>
      <c r="G54">
        <v>1</v>
      </c>
      <c r="H54">
        <v>2</v>
      </c>
      <c r="I54">
        <v>4</v>
      </c>
      <c r="J54">
        <v>6</v>
      </c>
      <c r="K54">
        <f>F54+G54+H54+I54+J54</f>
        <v>16</v>
      </c>
      <c r="L54" t="s">
        <v>17</v>
      </c>
      <c r="M54" t="s">
        <v>6</v>
      </c>
      <c r="N54" s="3">
        <v>1.83E-2</v>
      </c>
      <c r="O54" s="3">
        <v>3.1199999999999999E-2</v>
      </c>
      <c r="P54" t="s">
        <v>21</v>
      </c>
      <c r="Q54" s="5">
        <v>1</v>
      </c>
      <c r="R54" s="5">
        <v>1</v>
      </c>
    </row>
    <row r="55" spans="1:19">
      <c r="A55">
        <v>54</v>
      </c>
      <c r="B55">
        <v>4</v>
      </c>
      <c r="C55" t="s">
        <v>45</v>
      </c>
      <c r="D55">
        <v>1</v>
      </c>
      <c r="E55">
        <v>11</v>
      </c>
      <c r="F55">
        <v>3</v>
      </c>
      <c r="G55">
        <v>1</v>
      </c>
      <c r="H55">
        <v>2</v>
      </c>
      <c r="I55" t="s">
        <v>53</v>
      </c>
      <c r="J55" t="s">
        <v>53</v>
      </c>
      <c r="K55" t="s">
        <v>5</v>
      </c>
      <c r="L55" t="s">
        <v>17</v>
      </c>
      <c r="M55" t="s">
        <v>6</v>
      </c>
      <c r="N55" s="3">
        <v>1.0500000000000001E-2</v>
      </c>
      <c r="O55" s="3" t="s">
        <v>20</v>
      </c>
      <c r="P55" s="3" t="s">
        <v>20</v>
      </c>
      <c r="Q55" s="5">
        <v>0</v>
      </c>
      <c r="R55" s="5">
        <v>0</v>
      </c>
      <c r="S55" s="3" t="s">
        <v>39</v>
      </c>
    </row>
    <row r="56" spans="1:19">
      <c r="A56">
        <v>55</v>
      </c>
      <c r="B56">
        <v>4</v>
      </c>
      <c r="C56" t="s">
        <v>45</v>
      </c>
      <c r="D56">
        <v>1</v>
      </c>
      <c r="E56">
        <v>12</v>
      </c>
      <c r="F56">
        <v>3</v>
      </c>
      <c r="G56">
        <v>1</v>
      </c>
      <c r="H56">
        <v>2</v>
      </c>
      <c r="I56" t="s">
        <v>53</v>
      </c>
      <c r="J56" t="s">
        <v>53</v>
      </c>
      <c r="K56" t="s">
        <v>5</v>
      </c>
      <c r="L56" t="s">
        <v>17</v>
      </c>
      <c r="M56" t="s">
        <v>6</v>
      </c>
      <c r="N56" s="3">
        <v>1.2999999999999999E-2</v>
      </c>
      <c r="O56" s="3" t="s">
        <v>19</v>
      </c>
      <c r="P56" s="3" t="s">
        <v>19</v>
      </c>
      <c r="Q56" s="5">
        <v>0</v>
      </c>
      <c r="R56" s="5">
        <v>0</v>
      </c>
      <c r="S56" s="3" t="s">
        <v>39</v>
      </c>
    </row>
    <row r="57" spans="1:19">
      <c r="A57">
        <v>56</v>
      </c>
      <c r="B57">
        <v>4</v>
      </c>
      <c r="C57" t="s">
        <v>46</v>
      </c>
      <c r="D57">
        <v>2</v>
      </c>
      <c r="E57">
        <v>10</v>
      </c>
      <c r="F57">
        <v>3</v>
      </c>
      <c r="G57">
        <v>1</v>
      </c>
      <c r="H57">
        <v>2</v>
      </c>
      <c r="I57" t="s">
        <v>53</v>
      </c>
      <c r="J57" t="s">
        <v>53</v>
      </c>
      <c r="K57" t="s">
        <v>5</v>
      </c>
      <c r="L57" t="s">
        <v>17</v>
      </c>
      <c r="M57" t="s">
        <v>6</v>
      </c>
      <c r="N57" s="3">
        <v>1.7999999999999999E-2</v>
      </c>
      <c r="O57" s="3" t="s">
        <v>19</v>
      </c>
      <c r="P57" s="3" t="s">
        <v>19</v>
      </c>
      <c r="Q57" s="5">
        <v>0</v>
      </c>
      <c r="R57" s="5">
        <v>0</v>
      </c>
      <c r="S57" s="3" t="s">
        <v>39</v>
      </c>
    </row>
    <row r="58" spans="1:19">
      <c r="A58">
        <v>57</v>
      </c>
      <c r="B58">
        <v>4</v>
      </c>
      <c r="C58" t="s">
        <v>46</v>
      </c>
      <c r="D58">
        <v>2</v>
      </c>
      <c r="E58">
        <v>11</v>
      </c>
      <c r="F58">
        <v>3</v>
      </c>
      <c r="G58">
        <v>1</v>
      </c>
      <c r="H58">
        <v>2</v>
      </c>
      <c r="I58" t="s">
        <v>53</v>
      </c>
      <c r="J58" t="s">
        <v>53</v>
      </c>
      <c r="K58" t="s">
        <v>5</v>
      </c>
      <c r="L58" t="s">
        <v>17</v>
      </c>
      <c r="M58" t="s">
        <v>6</v>
      </c>
      <c r="N58" s="3">
        <v>1.9400000000000001E-2</v>
      </c>
      <c r="O58" s="3" t="s">
        <v>19</v>
      </c>
      <c r="P58" s="3" t="s">
        <v>19</v>
      </c>
      <c r="Q58" s="5">
        <v>0</v>
      </c>
      <c r="R58" s="5">
        <v>0</v>
      </c>
      <c r="S58" s="3" t="s">
        <v>39</v>
      </c>
    </row>
    <row r="59" spans="1:19">
      <c r="A59">
        <v>58</v>
      </c>
      <c r="B59">
        <v>4</v>
      </c>
      <c r="C59" t="s">
        <v>46</v>
      </c>
      <c r="D59">
        <v>2</v>
      </c>
      <c r="E59">
        <v>12</v>
      </c>
      <c r="F59">
        <v>3</v>
      </c>
      <c r="G59">
        <v>1</v>
      </c>
      <c r="H59">
        <v>2</v>
      </c>
      <c r="I59">
        <v>4</v>
      </c>
      <c r="J59">
        <v>6</v>
      </c>
      <c r="K59">
        <f>F59+G59+H59+I59+J59</f>
        <v>16</v>
      </c>
      <c r="L59">
        <f>I59-(D59)+1</f>
        <v>3</v>
      </c>
      <c r="M59">
        <f>I59+J59-D59+1</f>
        <v>9</v>
      </c>
      <c r="N59" s="3">
        <v>2.81E-2</v>
      </c>
      <c r="O59" s="3">
        <v>1.61E-2</v>
      </c>
      <c r="P59" s="3" t="s">
        <v>21</v>
      </c>
      <c r="Q59" s="5">
        <v>1</v>
      </c>
      <c r="R59" s="5">
        <v>1</v>
      </c>
    </row>
    <row r="60" spans="1:19">
      <c r="A60">
        <v>59</v>
      </c>
      <c r="B60">
        <v>4</v>
      </c>
      <c r="C60" t="s">
        <v>46</v>
      </c>
      <c r="D60">
        <v>2</v>
      </c>
      <c r="E60">
        <v>13</v>
      </c>
      <c r="F60">
        <v>3</v>
      </c>
      <c r="G60">
        <v>1</v>
      </c>
      <c r="H60">
        <v>2</v>
      </c>
      <c r="I60">
        <v>5</v>
      </c>
      <c r="J60">
        <v>6</v>
      </c>
      <c r="K60">
        <f>F60+G60+H60+I60+J60</f>
        <v>17</v>
      </c>
      <c r="L60">
        <f>I60-(D60)+1</f>
        <v>4</v>
      </c>
      <c r="M60">
        <f>I60+J60-D60+1</f>
        <v>10</v>
      </c>
      <c r="N60" s="3">
        <v>2.0400000000000001E-2</v>
      </c>
      <c r="O60" s="3">
        <v>0.01</v>
      </c>
      <c r="P60" s="3" t="s">
        <v>22</v>
      </c>
      <c r="Q60" s="5">
        <v>1</v>
      </c>
      <c r="R60" s="5">
        <v>1</v>
      </c>
    </row>
    <row r="61" spans="1:19">
      <c r="A61">
        <v>60</v>
      </c>
      <c r="B61">
        <v>4</v>
      </c>
      <c r="C61" t="s">
        <v>47</v>
      </c>
      <c r="D61">
        <v>1</v>
      </c>
      <c r="E61">
        <v>11</v>
      </c>
      <c r="F61">
        <v>3</v>
      </c>
      <c r="G61">
        <v>1</v>
      </c>
      <c r="H61">
        <v>2</v>
      </c>
      <c r="I61" t="s">
        <v>53</v>
      </c>
      <c r="J61" t="s">
        <v>53</v>
      </c>
      <c r="K61" t="s">
        <v>5</v>
      </c>
      <c r="L61" t="s">
        <v>17</v>
      </c>
      <c r="M61" t="s">
        <v>6</v>
      </c>
      <c r="N61" s="3">
        <v>1.3100000000000001E-2</v>
      </c>
      <c r="O61" s="3" t="s">
        <v>19</v>
      </c>
      <c r="P61" s="3" t="s">
        <v>19</v>
      </c>
      <c r="Q61" s="5">
        <v>0</v>
      </c>
      <c r="R61" s="5">
        <v>0</v>
      </c>
      <c r="S61" s="3" t="s">
        <v>39</v>
      </c>
    </row>
    <row r="62" spans="1:19">
      <c r="A62">
        <v>61</v>
      </c>
      <c r="B62">
        <v>4</v>
      </c>
      <c r="C62" t="s">
        <v>47</v>
      </c>
      <c r="D62">
        <v>1</v>
      </c>
      <c r="E62">
        <v>12</v>
      </c>
      <c r="F62">
        <v>3</v>
      </c>
      <c r="G62">
        <v>1</v>
      </c>
      <c r="H62">
        <v>2</v>
      </c>
      <c r="I62" t="s">
        <v>53</v>
      </c>
      <c r="J62" t="s">
        <v>53</v>
      </c>
      <c r="K62" t="s">
        <v>5</v>
      </c>
      <c r="L62" t="s">
        <v>17</v>
      </c>
      <c r="M62" t="s">
        <v>6</v>
      </c>
      <c r="N62" s="3">
        <v>9.1000000000000004E-3</v>
      </c>
      <c r="O62" s="3" t="s">
        <v>19</v>
      </c>
      <c r="P62" s="3" t="s">
        <v>19</v>
      </c>
      <c r="Q62" s="5">
        <v>0</v>
      </c>
      <c r="R62" s="5">
        <v>0</v>
      </c>
      <c r="S62" s="3" t="s">
        <v>39</v>
      </c>
    </row>
    <row r="63" spans="1:19">
      <c r="A63">
        <v>62</v>
      </c>
      <c r="B63">
        <v>4</v>
      </c>
      <c r="C63" t="s">
        <v>47</v>
      </c>
      <c r="D63">
        <v>1</v>
      </c>
      <c r="E63">
        <v>13</v>
      </c>
      <c r="F63">
        <v>3</v>
      </c>
      <c r="G63">
        <v>1</v>
      </c>
      <c r="H63">
        <v>2</v>
      </c>
      <c r="I63" t="s">
        <v>53</v>
      </c>
      <c r="J63" t="s">
        <v>53</v>
      </c>
      <c r="K63" t="s">
        <v>5</v>
      </c>
      <c r="L63" t="s">
        <v>17</v>
      </c>
      <c r="M63" t="s">
        <v>6</v>
      </c>
      <c r="N63" s="3">
        <v>1.34E-2</v>
      </c>
      <c r="O63" s="3" t="s">
        <v>19</v>
      </c>
      <c r="P63" s="3" t="s">
        <v>19</v>
      </c>
      <c r="Q63" s="5">
        <v>0</v>
      </c>
      <c r="R63" s="5">
        <v>0</v>
      </c>
      <c r="S63" s="3" t="s">
        <v>39</v>
      </c>
    </row>
    <row r="64" spans="1:19">
      <c r="A64">
        <v>63</v>
      </c>
      <c r="B64">
        <v>4</v>
      </c>
      <c r="C64" t="s">
        <v>47</v>
      </c>
      <c r="D64">
        <v>1</v>
      </c>
      <c r="E64">
        <v>14</v>
      </c>
      <c r="F64">
        <v>3</v>
      </c>
      <c r="G64">
        <v>1</v>
      </c>
      <c r="H64">
        <v>2</v>
      </c>
      <c r="I64" t="s">
        <v>53</v>
      </c>
      <c r="J64" t="s">
        <v>53</v>
      </c>
      <c r="K64" t="s">
        <v>5</v>
      </c>
      <c r="L64" t="s">
        <v>17</v>
      </c>
      <c r="M64" t="s">
        <v>6</v>
      </c>
      <c r="N64" s="3">
        <v>1.24E-2</v>
      </c>
      <c r="O64" s="3" t="s">
        <v>19</v>
      </c>
      <c r="P64" s="3" t="s">
        <v>19</v>
      </c>
      <c r="Q64" s="5">
        <v>0</v>
      </c>
      <c r="R64" s="5">
        <v>0</v>
      </c>
      <c r="S64" s="3" t="s">
        <v>39</v>
      </c>
    </row>
    <row r="65" spans="1:19">
      <c r="A65">
        <v>64</v>
      </c>
      <c r="B65">
        <v>4</v>
      </c>
      <c r="C65" t="s">
        <v>47</v>
      </c>
      <c r="D65">
        <v>2</v>
      </c>
      <c r="E65">
        <v>11</v>
      </c>
      <c r="F65">
        <v>2</v>
      </c>
      <c r="G65">
        <v>2</v>
      </c>
      <c r="H65">
        <v>2</v>
      </c>
      <c r="I65">
        <v>3</v>
      </c>
      <c r="J65">
        <v>6</v>
      </c>
      <c r="K65">
        <f>F65+G65+H65+I65+J65</f>
        <v>15</v>
      </c>
      <c r="L65">
        <f>I65-(D65)+1</f>
        <v>2</v>
      </c>
      <c r="M65">
        <f>I65+J65-D65+1</f>
        <v>8</v>
      </c>
      <c r="N65" s="3">
        <v>2.8400000000000002E-2</v>
      </c>
      <c r="O65" s="3">
        <v>1.8100000000000002E-2</v>
      </c>
      <c r="P65" s="3" t="s">
        <v>21</v>
      </c>
      <c r="Q65" s="5">
        <v>1</v>
      </c>
      <c r="R65" s="5">
        <v>1</v>
      </c>
    </row>
    <row r="66" spans="1:19">
      <c r="A66">
        <v>65</v>
      </c>
      <c r="B66">
        <v>4</v>
      </c>
      <c r="C66" t="s">
        <v>48</v>
      </c>
      <c r="D66">
        <v>2</v>
      </c>
      <c r="E66">
        <v>12</v>
      </c>
      <c r="F66">
        <v>3</v>
      </c>
      <c r="G66">
        <v>1</v>
      </c>
      <c r="H66">
        <v>2</v>
      </c>
      <c r="I66">
        <v>4</v>
      </c>
      <c r="J66">
        <v>5</v>
      </c>
      <c r="K66">
        <f>F66+G66+H66+I66+J66</f>
        <v>15</v>
      </c>
      <c r="L66">
        <f>I66-(D66)+1</f>
        <v>3</v>
      </c>
      <c r="M66">
        <f>I66+J66-D66+1</f>
        <v>8</v>
      </c>
      <c r="N66" s="3">
        <v>2.9100000000000001E-2</v>
      </c>
      <c r="O66" s="3">
        <v>1.9300000000000001E-2</v>
      </c>
      <c r="P66" s="3" t="s">
        <v>21</v>
      </c>
      <c r="Q66" s="5">
        <v>1</v>
      </c>
      <c r="R66" s="5">
        <v>1</v>
      </c>
    </row>
    <row r="67" spans="1:19">
      <c r="A67">
        <v>66</v>
      </c>
      <c r="B67">
        <v>4</v>
      </c>
      <c r="C67" t="s">
        <v>47</v>
      </c>
      <c r="D67">
        <v>2</v>
      </c>
      <c r="E67">
        <v>13</v>
      </c>
      <c r="F67">
        <v>3</v>
      </c>
      <c r="G67">
        <v>1</v>
      </c>
      <c r="H67">
        <v>2</v>
      </c>
      <c r="I67" t="s">
        <v>53</v>
      </c>
      <c r="J67" t="s">
        <v>53</v>
      </c>
      <c r="K67" t="s">
        <v>5</v>
      </c>
      <c r="L67" t="s">
        <v>17</v>
      </c>
      <c r="M67" t="s">
        <v>6</v>
      </c>
      <c r="N67" s="3">
        <v>2.06E-2</v>
      </c>
      <c r="O67" s="3" t="s">
        <v>19</v>
      </c>
      <c r="P67" s="3" t="s">
        <v>20</v>
      </c>
      <c r="Q67" s="5">
        <v>0</v>
      </c>
      <c r="R67" s="5">
        <v>0</v>
      </c>
      <c r="S67" s="3" t="s">
        <v>39</v>
      </c>
    </row>
    <row r="68" spans="1:19">
      <c r="A68">
        <v>67</v>
      </c>
      <c r="B68">
        <v>5</v>
      </c>
      <c r="C68" t="s">
        <v>43</v>
      </c>
      <c r="D68" t="s">
        <v>44</v>
      </c>
      <c r="E68">
        <v>15</v>
      </c>
      <c r="F68">
        <v>3</v>
      </c>
      <c r="G68">
        <v>1</v>
      </c>
      <c r="H68">
        <v>2</v>
      </c>
      <c r="I68">
        <v>4</v>
      </c>
      <c r="J68">
        <v>6</v>
      </c>
      <c r="K68">
        <f>F68+G68+H68+I68+J68</f>
        <v>16</v>
      </c>
      <c r="L68" t="s">
        <v>17</v>
      </c>
      <c r="M68" t="s">
        <v>6</v>
      </c>
      <c r="N68" s="3">
        <v>1.18E-2</v>
      </c>
      <c r="O68" s="3">
        <v>2.7199999999999998E-2</v>
      </c>
      <c r="P68" s="3" t="s">
        <v>30</v>
      </c>
      <c r="Q68" s="5">
        <v>1</v>
      </c>
      <c r="R68" s="5">
        <v>1</v>
      </c>
    </row>
    <row r="69" spans="1:19">
      <c r="A69">
        <v>68</v>
      </c>
      <c r="B69">
        <v>5</v>
      </c>
      <c r="C69" t="s">
        <v>43</v>
      </c>
      <c r="D69" t="s">
        <v>44</v>
      </c>
      <c r="E69">
        <v>16</v>
      </c>
      <c r="F69">
        <v>3</v>
      </c>
      <c r="G69">
        <v>1</v>
      </c>
      <c r="H69">
        <v>2</v>
      </c>
      <c r="I69">
        <v>4</v>
      </c>
      <c r="J69">
        <v>6</v>
      </c>
      <c r="K69">
        <f>F69+G69+H69+I69+J69</f>
        <v>16</v>
      </c>
      <c r="L69" t="s">
        <v>17</v>
      </c>
      <c r="M69" t="s">
        <v>6</v>
      </c>
      <c r="N69" s="3">
        <v>8.0999999999999996E-3</v>
      </c>
      <c r="O69" s="3">
        <v>2.1399999999999999E-2</v>
      </c>
      <c r="P69" s="3" t="s">
        <v>31</v>
      </c>
      <c r="Q69" s="5">
        <v>1</v>
      </c>
      <c r="R69" s="5">
        <v>1</v>
      </c>
    </row>
    <row r="70" spans="1:19">
      <c r="A70">
        <v>69</v>
      </c>
      <c r="B70">
        <v>5</v>
      </c>
      <c r="C70" t="s">
        <v>43</v>
      </c>
      <c r="D70" t="s">
        <v>44</v>
      </c>
      <c r="E70">
        <v>17</v>
      </c>
      <c r="F70">
        <v>3</v>
      </c>
      <c r="G70">
        <v>2</v>
      </c>
      <c r="H70">
        <v>2</v>
      </c>
      <c r="I70">
        <v>3</v>
      </c>
      <c r="J70">
        <v>6</v>
      </c>
      <c r="K70">
        <f>F70+G70+H70+I70+J70</f>
        <v>16</v>
      </c>
      <c r="L70" t="s">
        <v>17</v>
      </c>
      <c r="M70" t="s">
        <v>6</v>
      </c>
      <c r="N70" s="3">
        <v>1.5299999999999999E-2</v>
      </c>
      <c r="O70" s="3">
        <v>2.7199999999999998E-2</v>
      </c>
      <c r="P70" s="3" t="s">
        <v>32</v>
      </c>
      <c r="Q70" s="5">
        <v>1</v>
      </c>
      <c r="R70" s="5">
        <v>1</v>
      </c>
    </row>
    <row r="71" spans="1:19">
      <c r="A71">
        <v>70</v>
      </c>
      <c r="B71">
        <v>5</v>
      </c>
      <c r="C71" t="s">
        <v>43</v>
      </c>
      <c r="D71" t="s">
        <v>44</v>
      </c>
      <c r="E71">
        <v>18</v>
      </c>
      <c r="F71">
        <v>3</v>
      </c>
      <c r="G71">
        <v>1</v>
      </c>
      <c r="H71">
        <v>3</v>
      </c>
      <c r="I71">
        <v>3</v>
      </c>
      <c r="J71">
        <v>6</v>
      </c>
      <c r="K71">
        <f>F71+G71+H71+I71+J71</f>
        <v>16</v>
      </c>
      <c r="L71" t="s">
        <v>17</v>
      </c>
      <c r="M71" t="s">
        <v>6</v>
      </c>
      <c r="N71" s="3">
        <v>1.7299999999999999E-2</v>
      </c>
      <c r="O71" s="3">
        <v>2.1700000000000001E-2</v>
      </c>
      <c r="P71" s="3" t="s">
        <v>31</v>
      </c>
      <c r="Q71" s="5">
        <v>1</v>
      </c>
      <c r="R71" s="5">
        <v>1</v>
      </c>
    </row>
    <row r="72" spans="1:19">
      <c r="A72">
        <v>71</v>
      </c>
      <c r="B72">
        <v>5</v>
      </c>
      <c r="C72" t="s">
        <v>45</v>
      </c>
      <c r="D72">
        <v>1</v>
      </c>
      <c r="E72">
        <v>13</v>
      </c>
      <c r="F72">
        <v>3</v>
      </c>
      <c r="G72">
        <v>2</v>
      </c>
      <c r="H72">
        <v>2</v>
      </c>
      <c r="I72">
        <v>6</v>
      </c>
      <c r="J72">
        <v>6</v>
      </c>
      <c r="K72">
        <f>F72+G72+H72+I72+J72</f>
        <v>19</v>
      </c>
      <c r="L72">
        <f>I72-(D72)+1</f>
        <v>6</v>
      </c>
      <c r="M72">
        <f>I72+J72-D72+1</f>
        <v>12</v>
      </c>
      <c r="N72" s="3">
        <v>1.66E-2</v>
      </c>
      <c r="O72" s="3">
        <v>1.1299999999999999E-2</v>
      </c>
      <c r="P72" s="3" t="s">
        <v>33</v>
      </c>
      <c r="Q72" s="5">
        <v>1</v>
      </c>
      <c r="R72" s="5">
        <v>1</v>
      </c>
    </row>
    <row r="73" spans="1:19">
      <c r="A73">
        <v>72</v>
      </c>
      <c r="B73">
        <v>5</v>
      </c>
      <c r="C73" t="s">
        <v>45</v>
      </c>
      <c r="D73">
        <v>1</v>
      </c>
      <c r="E73">
        <v>14</v>
      </c>
      <c r="F73">
        <v>3</v>
      </c>
      <c r="G73">
        <v>1</v>
      </c>
      <c r="H73">
        <v>2</v>
      </c>
      <c r="I73" t="s">
        <v>53</v>
      </c>
      <c r="J73" t="s">
        <v>53</v>
      </c>
      <c r="K73" t="s">
        <v>5</v>
      </c>
      <c r="L73" t="s">
        <v>17</v>
      </c>
      <c r="M73" t="s">
        <v>6</v>
      </c>
      <c r="N73" s="3">
        <v>1.0800000000000001E-2</v>
      </c>
      <c r="O73" s="3" t="s">
        <v>29</v>
      </c>
      <c r="P73" s="3" t="s">
        <v>29</v>
      </c>
      <c r="Q73" s="5">
        <v>0</v>
      </c>
      <c r="R73" s="5">
        <v>0</v>
      </c>
      <c r="S73" s="3" t="s">
        <v>49</v>
      </c>
    </row>
    <row r="74" spans="1:19">
      <c r="A74">
        <v>73</v>
      </c>
      <c r="B74">
        <v>5</v>
      </c>
      <c r="C74" t="s">
        <v>45</v>
      </c>
      <c r="D74">
        <v>1</v>
      </c>
      <c r="E74">
        <v>15</v>
      </c>
      <c r="F74">
        <v>3</v>
      </c>
      <c r="G74">
        <v>1</v>
      </c>
      <c r="H74">
        <v>2</v>
      </c>
      <c r="I74" t="s">
        <v>53</v>
      </c>
      <c r="J74" t="s">
        <v>53</v>
      </c>
      <c r="K74" t="s">
        <v>5</v>
      </c>
      <c r="L74" t="s">
        <v>17</v>
      </c>
      <c r="M74" t="s">
        <v>6</v>
      </c>
      <c r="N74" s="3">
        <v>8.5000000000000006E-3</v>
      </c>
      <c r="O74" s="3" t="s">
        <v>29</v>
      </c>
      <c r="P74" s="3" t="s">
        <v>29</v>
      </c>
      <c r="Q74" s="5">
        <v>0</v>
      </c>
      <c r="R74" s="5">
        <v>0</v>
      </c>
      <c r="S74" s="3" t="s">
        <v>49</v>
      </c>
    </row>
    <row r="75" spans="1:19">
      <c r="A75">
        <v>74</v>
      </c>
      <c r="B75">
        <v>5</v>
      </c>
      <c r="C75" t="s">
        <v>45</v>
      </c>
      <c r="D75">
        <v>1</v>
      </c>
      <c r="E75">
        <v>16</v>
      </c>
      <c r="F75">
        <v>2</v>
      </c>
      <c r="G75">
        <v>2</v>
      </c>
      <c r="H75">
        <v>2</v>
      </c>
      <c r="I75">
        <v>8</v>
      </c>
      <c r="J75" t="s">
        <v>53</v>
      </c>
      <c r="K75" t="s">
        <v>53</v>
      </c>
      <c r="L75">
        <f>I75-(D75)+1</f>
        <v>8</v>
      </c>
      <c r="M75" t="s">
        <v>6</v>
      </c>
      <c r="N75" s="3">
        <v>1.3899999999999999E-2</v>
      </c>
      <c r="O75" s="3" t="s">
        <v>29</v>
      </c>
      <c r="P75" s="3" t="s">
        <v>29</v>
      </c>
      <c r="Q75" s="5">
        <v>1</v>
      </c>
      <c r="R75" s="5">
        <v>0</v>
      </c>
      <c r="S75" t="s">
        <v>38</v>
      </c>
    </row>
    <row r="76" spans="1:19">
      <c r="A76">
        <v>75</v>
      </c>
      <c r="B76">
        <v>5</v>
      </c>
      <c r="C76" t="s">
        <v>46</v>
      </c>
      <c r="D76">
        <v>2</v>
      </c>
      <c r="E76">
        <v>14</v>
      </c>
      <c r="F76">
        <v>3</v>
      </c>
      <c r="G76">
        <v>1</v>
      </c>
      <c r="H76">
        <v>2</v>
      </c>
      <c r="I76">
        <v>4</v>
      </c>
      <c r="J76">
        <v>6</v>
      </c>
      <c r="K76">
        <f>F76+G76+H76+I76+J76</f>
        <v>16</v>
      </c>
      <c r="L76">
        <f>I76-(D76)+1</f>
        <v>3</v>
      </c>
      <c r="M76">
        <f>I76+J76-D76+1</f>
        <v>9</v>
      </c>
      <c r="N76" s="3">
        <v>2.3E-2</v>
      </c>
      <c r="O76" s="3">
        <v>1.6E-2</v>
      </c>
      <c r="P76" s="3" t="s">
        <v>32</v>
      </c>
      <c r="Q76" s="5">
        <v>1</v>
      </c>
      <c r="R76" s="5">
        <v>1</v>
      </c>
    </row>
    <row r="77" spans="1:19">
      <c r="A77">
        <v>76</v>
      </c>
      <c r="B77">
        <v>5</v>
      </c>
      <c r="C77" t="s">
        <v>46</v>
      </c>
      <c r="D77">
        <v>2</v>
      </c>
      <c r="E77">
        <v>15</v>
      </c>
      <c r="F77">
        <v>3</v>
      </c>
      <c r="G77">
        <v>1</v>
      </c>
      <c r="H77">
        <v>2</v>
      </c>
      <c r="I77">
        <v>8</v>
      </c>
      <c r="J77">
        <v>6</v>
      </c>
      <c r="K77">
        <f>F77+G77+H77+I77+J77</f>
        <v>20</v>
      </c>
      <c r="L77">
        <f>I77-(D77)+1</f>
        <v>7</v>
      </c>
      <c r="M77">
        <f>I77+J77-D77+1</f>
        <v>13</v>
      </c>
      <c r="N77" s="3">
        <v>1.44E-2</v>
      </c>
      <c r="O77" s="3">
        <v>1.03E-2</v>
      </c>
      <c r="P77" s="3" t="s">
        <v>31</v>
      </c>
      <c r="Q77" s="5">
        <v>1</v>
      </c>
      <c r="R77" s="5">
        <v>1</v>
      </c>
    </row>
    <row r="78" spans="1:19">
      <c r="A78">
        <v>77</v>
      </c>
      <c r="B78">
        <v>5</v>
      </c>
      <c r="C78" t="s">
        <v>46</v>
      </c>
      <c r="D78">
        <v>2</v>
      </c>
      <c r="E78">
        <v>16</v>
      </c>
      <c r="F78">
        <v>3</v>
      </c>
      <c r="G78">
        <v>1</v>
      </c>
      <c r="H78">
        <v>2</v>
      </c>
      <c r="I78">
        <v>5</v>
      </c>
      <c r="J78">
        <v>6</v>
      </c>
      <c r="K78">
        <f>F78+G78+H78+I78+J78</f>
        <v>17</v>
      </c>
      <c r="L78">
        <f>I78-(D78)+1</f>
        <v>4</v>
      </c>
      <c r="M78">
        <f>I78+J78-D78+1</f>
        <v>10</v>
      </c>
      <c r="N78" s="3">
        <v>2.23E-2</v>
      </c>
      <c r="O78" s="3">
        <v>1.4200000000000001E-2</v>
      </c>
      <c r="P78" s="3" t="s">
        <v>32</v>
      </c>
      <c r="Q78" s="5">
        <v>1</v>
      </c>
      <c r="R78" s="5">
        <v>1</v>
      </c>
    </row>
    <row r="79" spans="1:19">
      <c r="A79">
        <v>78</v>
      </c>
      <c r="B79">
        <v>5</v>
      </c>
      <c r="C79" t="s">
        <v>46</v>
      </c>
      <c r="D79">
        <v>2</v>
      </c>
      <c r="E79">
        <v>17</v>
      </c>
      <c r="F79">
        <v>3</v>
      </c>
      <c r="G79">
        <v>1</v>
      </c>
      <c r="H79">
        <v>2</v>
      </c>
      <c r="I79">
        <v>5</v>
      </c>
      <c r="J79">
        <v>6</v>
      </c>
      <c r="K79">
        <f>F79+G79+H79+I79+J79</f>
        <v>17</v>
      </c>
      <c r="L79">
        <f>I79-(D79)+1</f>
        <v>4</v>
      </c>
      <c r="M79">
        <f>I79+J79-D79+1</f>
        <v>10</v>
      </c>
      <c r="N79" s="3">
        <v>2.4500000000000001E-2</v>
      </c>
      <c r="O79" s="3">
        <v>1.37E-2</v>
      </c>
      <c r="P79" s="3" t="s">
        <v>34</v>
      </c>
      <c r="Q79" s="5">
        <v>1</v>
      </c>
      <c r="R79" s="5">
        <v>1</v>
      </c>
    </row>
    <row r="80" spans="1:19">
      <c r="A80">
        <v>79</v>
      </c>
      <c r="B80">
        <v>5</v>
      </c>
      <c r="C80" t="s">
        <v>47</v>
      </c>
      <c r="D80">
        <v>1</v>
      </c>
      <c r="E80">
        <v>15</v>
      </c>
      <c r="F80">
        <v>2</v>
      </c>
      <c r="G80">
        <v>2</v>
      </c>
      <c r="H80">
        <v>2</v>
      </c>
      <c r="I80" t="s">
        <v>53</v>
      </c>
      <c r="J80" t="s">
        <v>53</v>
      </c>
      <c r="K80" t="s">
        <v>5</v>
      </c>
      <c r="L80" t="s">
        <v>17</v>
      </c>
      <c r="M80" t="s">
        <v>6</v>
      </c>
      <c r="N80" s="3">
        <v>1.5100000000000001E-2</v>
      </c>
      <c r="O80" s="3" t="s">
        <v>29</v>
      </c>
      <c r="P80" s="3" t="s">
        <v>29</v>
      </c>
      <c r="Q80" s="5">
        <v>0</v>
      </c>
      <c r="R80" s="5">
        <v>0</v>
      </c>
      <c r="S80" s="3" t="s">
        <v>50</v>
      </c>
    </row>
    <row r="81" spans="1:19">
      <c r="A81">
        <v>80</v>
      </c>
      <c r="B81">
        <v>5</v>
      </c>
      <c r="C81" t="s">
        <v>47</v>
      </c>
      <c r="D81">
        <v>1</v>
      </c>
      <c r="E81">
        <v>16</v>
      </c>
      <c r="F81">
        <v>3</v>
      </c>
      <c r="G81">
        <v>1</v>
      </c>
      <c r="H81">
        <v>2</v>
      </c>
      <c r="I81" t="s">
        <v>53</v>
      </c>
      <c r="J81" t="s">
        <v>53</v>
      </c>
      <c r="K81" t="s">
        <v>5</v>
      </c>
      <c r="L81" t="s">
        <v>17</v>
      </c>
      <c r="M81" t="s">
        <v>6</v>
      </c>
      <c r="N81" s="3">
        <v>1.09E-2</v>
      </c>
      <c r="O81" s="3" t="s">
        <v>29</v>
      </c>
      <c r="P81" s="3" t="s">
        <v>29</v>
      </c>
      <c r="Q81" s="5">
        <v>0</v>
      </c>
      <c r="R81" s="5">
        <v>0</v>
      </c>
      <c r="S81" s="3" t="s">
        <v>50</v>
      </c>
    </row>
    <row r="82" spans="1:19">
      <c r="A82">
        <v>81</v>
      </c>
      <c r="B82">
        <v>5</v>
      </c>
      <c r="C82" t="s">
        <v>47</v>
      </c>
      <c r="D82">
        <v>1</v>
      </c>
      <c r="E82">
        <v>17</v>
      </c>
      <c r="F82">
        <v>2</v>
      </c>
      <c r="G82">
        <v>2</v>
      </c>
      <c r="H82">
        <v>2</v>
      </c>
      <c r="I82" t="s">
        <v>53</v>
      </c>
      <c r="J82" t="s">
        <v>53</v>
      </c>
      <c r="K82" t="s">
        <v>5</v>
      </c>
      <c r="L82" t="s">
        <v>17</v>
      </c>
      <c r="M82" t="s">
        <v>6</v>
      </c>
      <c r="N82" s="3">
        <v>1.3299999999999999E-2</v>
      </c>
      <c r="O82" s="3" t="s">
        <v>29</v>
      </c>
      <c r="P82" s="3" t="s">
        <v>29</v>
      </c>
      <c r="Q82" s="5">
        <v>0</v>
      </c>
      <c r="R82" s="5">
        <v>0</v>
      </c>
      <c r="S82" s="3" t="s">
        <v>50</v>
      </c>
    </row>
    <row r="83" spans="1:19">
      <c r="A83">
        <v>82</v>
      </c>
      <c r="B83">
        <v>5</v>
      </c>
      <c r="C83" t="s">
        <v>47</v>
      </c>
      <c r="D83">
        <v>1</v>
      </c>
      <c r="E83">
        <v>18</v>
      </c>
      <c r="F83">
        <v>3</v>
      </c>
      <c r="G83">
        <v>1</v>
      </c>
      <c r="H83">
        <v>2</v>
      </c>
      <c r="I83" t="s">
        <v>53</v>
      </c>
      <c r="J83" t="s">
        <v>53</v>
      </c>
      <c r="K83" t="s">
        <v>5</v>
      </c>
      <c r="L83" t="s">
        <v>17</v>
      </c>
      <c r="M83" t="s">
        <v>6</v>
      </c>
      <c r="N83" s="3">
        <v>1.14E-2</v>
      </c>
      <c r="O83" s="3" t="s">
        <v>29</v>
      </c>
      <c r="P83" s="3" t="s">
        <v>29</v>
      </c>
      <c r="Q83" s="5">
        <v>0</v>
      </c>
      <c r="R83" s="5">
        <v>0</v>
      </c>
      <c r="S83" s="3" t="s">
        <v>50</v>
      </c>
    </row>
    <row r="84" spans="1:19">
      <c r="A84">
        <v>83</v>
      </c>
      <c r="B84">
        <v>5</v>
      </c>
      <c r="C84" t="s">
        <v>48</v>
      </c>
      <c r="D84">
        <v>2</v>
      </c>
      <c r="E84">
        <v>14</v>
      </c>
      <c r="F84">
        <v>3</v>
      </c>
      <c r="G84">
        <v>1</v>
      </c>
      <c r="H84">
        <v>2</v>
      </c>
      <c r="I84">
        <v>5</v>
      </c>
      <c r="J84">
        <v>6</v>
      </c>
      <c r="K84">
        <f>F84+G84+H84+I84+J84</f>
        <v>17</v>
      </c>
      <c r="L84">
        <f>I84-(D84)+1</f>
        <v>4</v>
      </c>
      <c r="M84">
        <f>I84+J84-D84+1</f>
        <v>10</v>
      </c>
      <c r="N84" s="3">
        <v>2.35E-2</v>
      </c>
      <c r="O84" s="3">
        <v>1.26E-2</v>
      </c>
      <c r="P84" s="3" t="s">
        <v>32</v>
      </c>
      <c r="Q84" s="5">
        <v>1</v>
      </c>
      <c r="R84" s="5">
        <v>1</v>
      </c>
    </row>
    <row r="85" spans="1:19">
      <c r="A85">
        <v>84</v>
      </c>
      <c r="B85">
        <v>5</v>
      </c>
      <c r="C85" t="s">
        <v>47</v>
      </c>
      <c r="D85">
        <v>2</v>
      </c>
      <c r="E85">
        <v>15</v>
      </c>
      <c r="F85">
        <v>2</v>
      </c>
      <c r="G85">
        <v>2</v>
      </c>
      <c r="H85">
        <v>2</v>
      </c>
      <c r="I85">
        <v>4</v>
      </c>
      <c r="J85">
        <v>6</v>
      </c>
      <c r="K85">
        <f>F85+G85+H85+I85+J85</f>
        <v>16</v>
      </c>
      <c r="L85">
        <f>I85-(D85)+1</f>
        <v>3</v>
      </c>
      <c r="M85">
        <f>I85+J85-D85+1</f>
        <v>9</v>
      </c>
      <c r="N85" s="3">
        <v>1.9900000000000001E-2</v>
      </c>
      <c r="O85" s="3">
        <v>1.1900000000000001E-2</v>
      </c>
      <c r="P85" s="3" t="s">
        <v>31</v>
      </c>
      <c r="Q85" s="5">
        <v>1</v>
      </c>
      <c r="R85" s="5">
        <v>1</v>
      </c>
    </row>
    <row r="86" spans="1:19">
      <c r="A86">
        <v>85</v>
      </c>
      <c r="B86">
        <v>5</v>
      </c>
      <c r="C86" t="s">
        <v>48</v>
      </c>
      <c r="D86">
        <v>2</v>
      </c>
      <c r="E86">
        <v>16</v>
      </c>
      <c r="F86">
        <v>2</v>
      </c>
      <c r="G86">
        <v>2</v>
      </c>
      <c r="H86">
        <v>2</v>
      </c>
      <c r="I86">
        <v>4</v>
      </c>
      <c r="J86">
        <v>6</v>
      </c>
      <c r="K86">
        <f>F86+G86+H86+I86+J86</f>
        <v>16</v>
      </c>
      <c r="L86">
        <f>I86-(D86)+1</f>
        <v>3</v>
      </c>
      <c r="M86">
        <f>I86+J86-D86+1</f>
        <v>9</v>
      </c>
      <c r="N86" s="3">
        <v>2.53E-2</v>
      </c>
      <c r="O86" s="3">
        <v>1.4800000000000001E-2</v>
      </c>
      <c r="P86" s="3" t="s">
        <v>34</v>
      </c>
      <c r="Q86" s="5">
        <v>1</v>
      </c>
      <c r="R86" s="5">
        <v>1</v>
      </c>
    </row>
    <row r="87" spans="1:19">
      <c r="A87">
        <v>86</v>
      </c>
      <c r="B87">
        <v>5</v>
      </c>
      <c r="C87" t="s">
        <v>47</v>
      </c>
      <c r="D87">
        <v>2</v>
      </c>
      <c r="E87">
        <v>17</v>
      </c>
      <c r="F87">
        <v>2</v>
      </c>
      <c r="G87">
        <v>2</v>
      </c>
      <c r="H87">
        <v>2</v>
      </c>
      <c r="I87">
        <v>4</v>
      </c>
      <c r="J87">
        <v>6</v>
      </c>
      <c r="K87">
        <f>F87+G87+H87+I87+J87</f>
        <v>16</v>
      </c>
      <c r="L87">
        <f>I87-(D87)+1</f>
        <v>3</v>
      </c>
      <c r="M87">
        <f>I87+J87-D87+1</f>
        <v>9</v>
      </c>
      <c r="N87" s="3">
        <v>1.95E-2</v>
      </c>
      <c r="O87" s="3">
        <v>1.0999999999999999E-2</v>
      </c>
      <c r="P87" s="3" t="s">
        <v>31</v>
      </c>
      <c r="Q87" s="5">
        <v>1</v>
      </c>
      <c r="R87" s="5">
        <v>1</v>
      </c>
    </row>
    <row r="88" spans="1:19">
      <c r="A88">
        <v>87</v>
      </c>
      <c r="B88">
        <v>6</v>
      </c>
      <c r="C88" t="s">
        <v>7</v>
      </c>
      <c r="D88">
        <v>4</v>
      </c>
      <c r="E88">
        <v>1</v>
      </c>
      <c r="F88">
        <v>3</v>
      </c>
      <c r="G88">
        <v>1</v>
      </c>
      <c r="H88">
        <v>2</v>
      </c>
      <c r="I88">
        <v>4</v>
      </c>
      <c r="J88">
        <v>6</v>
      </c>
      <c r="K88">
        <f>F88+G88+H88+I88+J88</f>
        <v>16</v>
      </c>
      <c r="L88">
        <f>I88-(D88)+1</f>
        <v>1</v>
      </c>
      <c r="M88">
        <f>I88+J88-D88+1</f>
        <v>7</v>
      </c>
      <c r="N88" s="3">
        <v>3.4299999999999997E-2</v>
      </c>
      <c r="O88" s="3">
        <v>2.5399999999999999E-2</v>
      </c>
      <c r="P88" s="3" t="s">
        <v>9</v>
      </c>
      <c r="Q88" s="5">
        <v>1</v>
      </c>
      <c r="R88" s="5">
        <v>1</v>
      </c>
    </row>
    <row r="89" spans="1:19">
      <c r="A89">
        <v>88</v>
      </c>
      <c r="B89">
        <v>6</v>
      </c>
      <c r="C89" t="s">
        <v>8</v>
      </c>
      <c r="D89">
        <v>3</v>
      </c>
      <c r="E89">
        <v>1</v>
      </c>
      <c r="F89">
        <v>3</v>
      </c>
      <c r="G89">
        <v>1</v>
      </c>
      <c r="H89">
        <v>2</v>
      </c>
      <c r="I89">
        <v>4</v>
      </c>
      <c r="J89">
        <v>6</v>
      </c>
      <c r="K89">
        <f>F89+G89+H89+I89+J89</f>
        <v>16</v>
      </c>
      <c r="L89">
        <f>I89-(D89)+1</f>
        <v>2</v>
      </c>
      <c r="M89">
        <f>I89+J89-D89+1</f>
        <v>8</v>
      </c>
      <c r="N89" s="3">
        <v>2.64E-2</v>
      </c>
      <c r="O89" s="3">
        <v>1.7299999999999999E-2</v>
      </c>
      <c r="P89" s="3" t="s">
        <v>10</v>
      </c>
      <c r="Q89" s="5">
        <v>1</v>
      </c>
      <c r="R89" s="5">
        <v>1</v>
      </c>
    </row>
    <row r="90" spans="1:19">
      <c r="A90">
        <v>89</v>
      </c>
      <c r="B90">
        <v>6</v>
      </c>
      <c r="C90" t="s">
        <v>8</v>
      </c>
      <c r="D90">
        <v>4</v>
      </c>
      <c r="E90">
        <v>1</v>
      </c>
      <c r="F90">
        <v>3</v>
      </c>
      <c r="G90">
        <v>1</v>
      </c>
      <c r="H90">
        <v>2</v>
      </c>
      <c r="I90">
        <v>4</v>
      </c>
      <c r="J90">
        <v>6</v>
      </c>
      <c r="K90">
        <f>F90+G90+H90+I90+J90</f>
        <v>16</v>
      </c>
      <c r="L90">
        <f>I90-(D90)+1</f>
        <v>1</v>
      </c>
      <c r="M90">
        <f>I90+J90-D90+1</f>
        <v>7</v>
      </c>
      <c r="N90" s="3">
        <v>2.6599999999999999E-2</v>
      </c>
      <c r="O90" s="3">
        <v>1.8700000000000001E-2</v>
      </c>
      <c r="P90" s="3" t="s">
        <v>11</v>
      </c>
      <c r="Q90" s="5">
        <v>1</v>
      </c>
      <c r="R90" s="5">
        <v>1</v>
      </c>
    </row>
    <row r="91" spans="1:19">
      <c r="A91">
        <v>90</v>
      </c>
      <c r="B91">
        <v>6</v>
      </c>
      <c r="C91" t="s">
        <v>7</v>
      </c>
      <c r="D91">
        <v>3</v>
      </c>
      <c r="E91">
        <v>2</v>
      </c>
      <c r="F91">
        <v>3</v>
      </c>
      <c r="G91">
        <v>1</v>
      </c>
      <c r="H91">
        <v>2</v>
      </c>
      <c r="I91">
        <v>4</v>
      </c>
      <c r="J91">
        <v>7</v>
      </c>
      <c r="K91">
        <f>F91+G91+H91+I91+J91</f>
        <v>17</v>
      </c>
      <c r="L91">
        <f>I91-(D91)+1</f>
        <v>2</v>
      </c>
      <c r="M91">
        <f>I91+J91-D91+1</f>
        <v>9</v>
      </c>
      <c r="N91" s="3">
        <v>3.2199999999999999E-2</v>
      </c>
      <c r="O91" s="3">
        <v>1.9699999999999999E-2</v>
      </c>
      <c r="P91" s="3" t="s">
        <v>12</v>
      </c>
      <c r="Q91" s="5">
        <v>1</v>
      </c>
      <c r="R91" s="5">
        <v>1</v>
      </c>
    </row>
    <row r="92" spans="1:19">
      <c r="A92">
        <v>91</v>
      </c>
      <c r="B92">
        <v>6</v>
      </c>
      <c r="C92" t="s">
        <v>7</v>
      </c>
      <c r="D92">
        <v>4</v>
      </c>
      <c r="E92">
        <v>2</v>
      </c>
      <c r="F92">
        <v>3</v>
      </c>
      <c r="G92">
        <v>1</v>
      </c>
      <c r="H92">
        <v>2</v>
      </c>
      <c r="I92">
        <v>4</v>
      </c>
      <c r="J92">
        <v>6</v>
      </c>
      <c r="K92">
        <f>F92+G92+H92+I92+J92</f>
        <v>16</v>
      </c>
      <c r="L92">
        <f>I92-(D92)+1</f>
        <v>1</v>
      </c>
      <c r="M92">
        <f>I92+J92-D92+1</f>
        <v>7</v>
      </c>
      <c r="N92" s="3">
        <v>2.35E-2</v>
      </c>
      <c r="O92" s="3">
        <v>1.67E-2</v>
      </c>
      <c r="P92" s="3" t="s">
        <v>10</v>
      </c>
      <c r="Q92" s="5">
        <v>1</v>
      </c>
      <c r="R92" s="5">
        <v>1</v>
      </c>
    </row>
    <row r="93" spans="1:19">
      <c r="A93">
        <v>92</v>
      </c>
      <c r="B93">
        <v>6</v>
      </c>
      <c r="C93" t="s">
        <v>8</v>
      </c>
      <c r="D93">
        <v>3</v>
      </c>
      <c r="E93">
        <v>2</v>
      </c>
      <c r="F93">
        <v>2</v>
      </c>
      <c r="G93">
        <v>2</v>
      </c>
      <c r="H93">
        <v>2</v>
      </c>
      <c r="I93">
        <v>4</v>
      </c>
      <c r="J93">
        <v>6</v>
      </c>
      <c r="K93">
        <f>F93+G93+H93+I93+J93</f>
        <v>16</v>
      </c>
      <c r="L93">
        <f>I93-(D93)+1</f>
        <v>2</v>
      </c>
      <c r="M93">
        <f>I93+J93-D93+1</f>
        <v>8</v>
      </c>
      <c r="N93" s="3">
        <v>2.6200000000000001E-2</v>
      </c>
      <c r="O93" s="3">
        <v>1.7100000000000001E-2</v>
      </c>
      <c r="P93" s="3" t="s">
        <v>11</v>
      </c>
      <c r="Q93" s="5">
        <v>1</v>
      </c>
      <c r="R93" s="5">
        <v>1</v>
      </c>
    </row>
    <row r="94" spans="1:19">
      <c r="A94">
        <v>93</v>
      </c>
      <c r="B94">
        <v>6</v>
      </c>
      <c r="C94" t="s">
        <v>8</v>
      </c>
      <c r="D94">
        <v>4</v>
      </c>
      <c r="E94">
        <v>2</v>
      </c>
      <c r="F94">
        <v>3</v>
      </c>
      <c r="G94">
        <v>1</v>
      </c>
      <c r="H94">
        <v>2</v>
      </c>
      <c r="I94">
        <v>4</v>
      </c>
      <c r="J94">
        <v>6</v>
      </c>
      <c r="K94">
        <f>F94+G94+H94+I94+J94</f>
        <v>16</v>
      </c>
      <c r="L94">
        <f>I94-(D94)+1</f>
        <v>1</v>
      </c>
      <c r="M94">
        <f>I94+J94-D94+1</f>
        <v>7</v>
      </c>
      <c r="N94" s="3">
        <v>3.7999999999999999E-2</v>
      </c>
      <c r="O94" s="3">
        <v>2.75E-2</v>
      </c>
      <c r="P94" s="3" t="s">
        <v>12</v>
      </c>
      <c r="Q94" s="5">
        <v>1</v>
      </c>
      <c r="R94" s="5">
        <v>1</v>
      </c>
    </row>
    <row r="95" spans="1:19">
      <c r="A95">
        <v>94</v>
      </c>
      <c r="B95">
        <v>7</v>
      </c>
      <c r="C95" t="s">
        <v>7</v>
      </c>
      <c r="D95">
        <v>3</v>
      </c>
      <c r="E95">
        <v>3</v>
      </c>
      <c r="F95">
        <v>3</v>
      </c>
      <c r="G95">
        <v>2</v>
      </c>
      <c r="H95">
        <v>2</v>
      </c>
      <c r="I95">
        <v>4</v>
      </c>
      <c r="J95">
        <v>6</v>
      </c>
      <c r="K95">
        <f>F95+G95+H95+I95+J95</f>
        <v>17</v>
      </c>
      <c r="L95">
        <f>I95-(D95)+1</f>
        <v>2</v>
      </c>
      <c r="M95">
        <f>I95+J95-D95+1</f>
        <v>8</v>
      </c>
      <c r="N95" s="3">
        <v>2.6499999999999999E-2</v>
      </c>
      <c r="O95" s="3">
        <v>1.7500000000000002E-2</v>
      </c>
      <c r="P95" s="3" t="s">
        <v>10</v>
      </c>
      <c r="Q95" s="5">
        <v>1</v>
      </c>
      <c r="R95" s="5">
        <v>1</v>
      </c>
    </row>
    <row r="96" spans="1:19">
      <c r="A96">
        <v>95</v>
      </c>
      <c r="B96">
        <v>7</v>
      </c>
      <c r="C96" t="s">
        <v>8</v>
      </c>
      <c r="D96">
        <v>3</v>
      </c>
      <c r="E96">
        <v>3</v>
      </c>
      <c r="F96">
        <v>3</v>
      </c>
      <c r="G96">
        <v>2</v>
      </c>
      <c r="H96">
        <v>2</v>
      </c>
      <c r="I96">
        <v>4</v>
      </c>
      <c r="J96">
        <v>6</v>
      </c>
      <c r="K96">
        <f>F96+G96+H96+I96+J96</f>
        <v>17</v>
      </c>
      <c r="L96">
        <f>I96-(D96)+1</f>
        <v>2</v>
      </c>
      <c r="M96">
        <f>I96+J96-D96+1</f>
        <v>8</v>
      </c>
      <c r="N96" s="3">
        <v>2.9600000000000001E-2</v>
      </c>
      <c r="O96" s="3">
        <v>1.95E-2</v>
      </c>
      <c r="P96" s="3" t="s">
        <v>9</v>
      </c>
      <c r="Q96" s="5">
        <v>1</v>
      </c>
      <c r="R96" s="5">
        <v>1</v>
      </c>
    </row>
    <row r="97" spans="1:19">
      <c r="A97">
        <v>96</v>
      </c>
      <c r="B97">
        <v>7</v>
      </c>
      <c r="C97" t="s">
        <v>8</v>
      </c>
      <c r="D97">
        <v>4</v>
      </c>
      <c r="E97">
        <v>3</v>
      </c>
      <c r="F97">
        <v>3</v>
      </c>
      <c r="G97">
        <v>2</v>
      </c>
      <c r="H97">
        <v>2</v>
      </c>
      <c r="I97">
        <v>4</v>
      </c>
      <c r="J97">
        <v>6</v>
      </c>
      <c r="K97">
        <f>F97+G97+H97+I97+J97</f>
        <v>17</v>
      </c>
      <c r="L97">
        <f>I97-(D97)+1</f>
        <v>1</v>
      </c>
      <c r="M97">
        <f>I97+J97-D97+1</f>
        <v>7</v>
      </c>
      <c r="N97" s="3">
        <v>3.3500000000000002E-2</v>
      </c>
      <c r="O97" s="3">
        <v>2.4400000000000002E-2</v>
      </c>
      <c r="P97" s="3" t="s">
        <v>9</v>
      </c>
      <c r="Q97" s="5">
        <v>1</v>
      </c>
      <c r="R97" s="5">
        <v>1</v>
      </c>
    </row>
    <row r="98" spans="1:19">
      <c r="A98">
        <v>97</v>
      </c>
      <c r="B98">
        <v>7</v>
      </c>
      <c r="C98" t="s">
        <v>7</v>
      </c>
      <c r="D98">
        <v>3</v>
      </c>
      <c r="E98">
        <v>4</v>
      </c>
      <c r="F98">
        <v>3</v>
      </c>
      <c r="G98">
        <v>2</v>
      </c>
      <c r="H98">
        <v>2</v>
      </c>
      <c r="I98">
        <v>3</v>
      </c>
      <c r="J98">
        <v>6</v>
      </c>
      <c r="K98">
        <f>F98+G98+H98+I98+J98</f>
        <v>16</v>
      </c>
      <c r="L98">
        <f>I98-(D98)+1</f>
        <v>1</v>
      </c>
      <c r="M98">
        <f>I98+J98-D98+1</f>
        <v>7</v>
      </c>
      <c r="N98" s="3">
        <v>3.4299999999999997E-2</v>
      </c>
      <c r="O98" s="3">
        <v>2.4299999999999999E-2</v>
      </c>
      <c r="P98" s="3" t="s">
        <v>9</v>
      </c>
      <c r="Q98" s="5">
        <v>1</v>
      </c>
      <c r="R98" s="5">
        <v>1</v>
      </c>
    </row>
    <row r="99" spans="1:19">
      <c r="A99">
        <v>98</v>
      </c>
      <c r="B99">
        <v>7</v>
      </c>
      <c r="C99" t="s">
        <v>7</v>
      </c>
      <c r="D99">
        <v>4</v>
      </c>
      <c r="E99">
        <v>4</v>
      </c>
      <c r="F99">
        <v>3</v>
      </c>
      <c r="G99">
        <v>2</v>
      </c>
      <c r="H99">
        <v>2</v>
      </c>
      <c r="I99">
        <v>4</v>
      </c>
      <c r="J99">
        <v>6</v>
      </c>
      <c r="K99">
        <f>F99+G99+H99+I99+J99</f>
        <v>17</v>
      </c>
      <c r="L99">
        <f>I99-(D99)+1</f>
        <v>1</v>
      </c>
      <c r="M99">
        <f>I99+J99-D99+1</f>
        <v>7</v>
      </c>
      <c r="N99" s="3">
        <v>2.5499999999999998E-2</v>
      </c>
      <c r="O99" s="3">
        <v>1.7399999999999999E-2</v>
      </c>
      <c r="P99" s="3" t="s">
        <v>10</v>
      </c>
      <c r="Q99" s="5">
        <v>1</v>
      </c>
      <c r="R99" s="5">
        <v>1</v>
      </c>
    </row>
    <row r="100" spans="1:19">
      <c r="A100">
        <v>99</v>
      </c>
      <c r="B100">
        <v>7</v>
      </c>
      <c r="C100" t="s">
        <v>8</v>
      </c>
      <c r="D100">
        <v>3</v>
      </c>
      <c r="E100">
        <v>4</v>
      </c>
      <c r="F100">
        <v>3</v>
      </c>
      <c r="G100">
        <v>2</v>
      </c>
      <c r="H100">
        <v>2</v>
      </c>
      <c r="I100">
        <v>4</v>
      </c>
      <c r="J100">
        <v>6</v>
      </c>
      <c r="K100">
        <f>F100+G100+H100+I100+J100</f>
        <v>17</v>
      </c>
      <c r="L100">
        <f>I100-(D100)+1</f>
        <v>2</v>
      </c>
      <c r="M100">
        <f>I100+J100-D100+1</f>
        <v>8</v>
      </c>
      <c r="N100" s="3">
        <v>3.2399999999999998E-2</v>
      </c>
      <c r="O100" s="3">
        <v>2.1100000000000001E-2</v>
      </c>
      <c r="P100" s="3" t="s">
        <v>9</v>
      </c>
      <c r="Q100" s="5">
        <v>1</v>
      </c>
      <c r="R100" s="5">
        <v>1</v>
      </c>
    </row>
    <row r="101" spans="1:19">
      <c r="A101">
        <v>100</v>
      </c>
      <c r="B101">
        <v>7</v>
      </c>
      <c r="C101" t="s">
        <v>8</v>
      </c>
      <c r="D101">
        <v>4</v>
      </c>
      <c r="E101">
        <v>4</v>
      </c>
      <c r="F101">
        <v>3</v>
      </c>
      <c r="G101">
        <v>1</v>
      </c>
      <c r="H101">
        <v>2</v>
      </c>
      <c r="I101">
        <v>4</v>
      </c>
      <c r="J101">
        <v>6</v>
      </c>
      <c r="K101">
        <f>F101+G101+H101+I101+J101</f>
        <v>16</v>
      </c>
      <c r="L101">
        <f>I101-(D101)+1</f>
        <v>1</v>
      </c>
      <c r="M101">
        <f>I101+J101-D101+1</f>
        <v>7</v>
      </c>
      <c r="N101" s="3">
        <v>2.6800000000000001E-2</v>
      </c>
      <c r="O101" s="3">
        <v>1.9699999999999999E-2</v>
      </c>
      <c r="P101" s="3" t="s">
        <v>10</v>
      </c>
      <c r="Q101" s="5">
        <v>1</v>
      </c>
      <c r="R101" s="5">
        <v>1</v>
      </c>
    </row>
    <row r="102" spans="1:19">
      <c r="A102">
        <v>101</v>
      </c>
      <c r="B102">
        <v>7</v>
      </c>
      <c r="C102" t="s">
        <v>7</v>
      </c>
      <c r="D102">
        <v>3</v>
      </c>
      <c r="E102">
        <v>5</v>
      </c>
      <c r="F102">
        <v>2</v>
      </c>
      <c r="G102">
        <v>2</v>
      </c>
      <c r="H102">
        <v>2</v>
      </c>
      <c r="I102">
        <v>4</v>
      </c>
      <c r="J102">
        <v>6</v>
      </c>
      <c r="K102">
        <f>F102+G102+H102+I102+J102</f>
        <v>16</v>
      </c>
      <c r="L102">
        <f>I102-(D102)+1</f>
        <v>2</v>
      </c>
      <c r="M102">
        <f>I102+J102-D102+1</f>
        <v>8</v>
      </c>
      <c r="N102" s="3">
        <v>3.6499999999999998E-2</v>
      </c>
      <c r="O102" s="3">
        <v>2.23E-2</v>
      </c>
      <c r="P102" s="3" t="s">
        <v>12</v>
      </c>
      <c r="Q102" s="5">
        <v>1</v>
      </c>
      <c r="R102" s="5">
        <v>1</v>
      </c>
    </row>
    <row r="103" spans="1:19">
      <c r="A103">
        <v>102</v>
      </c>
      <c r="B103">
        <v>7</v>
      </c>
      <c r="C103" t="s">
        <v>7</v>
      </c>
      <c r="D103">
        <v>4</v>
      </c>
      <c r="E103">
        <v>5</v>
      </c>
      <c r="F103">
        <v>3</v>
      </c>
      <c r="G103">
        <v>1</v>
      </c>
      <c r="H103">
        <v>2</v>
      </c>
      <c r="I103">
        <v>4</v>
      </c>
      <c r="J103">
        <v>6</v>
      </c>
      <c r="K103">
        <f>F103+G103+H103+I103+J103</f>
        <v>16</v>
      </c>
      <c r="L103">
        <f>I103-(D103)+1</f>
        <v>1</v>
      </c>
      <c r="M103">
        <f>I103+J103-D103+1</f>
        <v>7</v>
      </c>
      <c r="N103" s="3">
        <v>3.04E-2</v>
      </c>
      <c r="O103" s="3">
        <v>2.0500000000000001E-2</v>
      </c>
      <c r="P103" s="3" t="s">
        <v>15</v>
      </c>
      <c r="Q103" s="5">
        <v>1</v>
      </c>
      <c r="R103" s="5">
        <v>1</v>
      </c>
    </row>
    <row r="104" spans="1:19">
      <c r="A104">
        <v>103</v>
      </c>
      <c r="B104">
        <v>7</v>
      </c>
      <c r="C104" t="s">
        <v>8</v>
      </c>
      <c r="D104">
        <v>3</v>
      </c>
      <c r="E104">
        <v>5</v>
      </c>
      <c r="F104">
        <v>3</v>
      </c>
      <c r="G104">
        <v>1</v>
      </c>
      <c r="H104">
        <v>3</v>
      </c>
      <c r="I104">
        <v>4</v>
      </c>
      <c r="J104">
        <v>6</v>
      </c>
      <c r="K104">
        <f>F104+G104+H104+I104+J104</f>
        <v>17</v>
      </c>
      <c r="L104">
        <f>I104-(D104)+1</f>
        <v>2</v>
      </c>
      <c r="M104">
        <f>I104+J104-D104+1</f>
        <v>8</v>
      </c>
      <c r="N104" s="3">
        <v>3.6299999999999999E-2</v>
      </c>
      <c r="O104" s="3">
        <v>2.5000000000000001E-2</v>
      </c>
      <c r="P104" s="3" t="s">
        <v>9</v>
      </c>
      <c r="Q104" s="5">
        <v>1</v>
      </c>
      <c r="R104" s="5">
        <v>1</v>
      </c>
    </row>
    <row r="105" spans="1:19">
      <c r="A105">
        <v>104</v>
      </c>
      <c r="B105">
        <v>7</v>
      </c>
      <c r="C105" t="s">
        <v>7</v>
      </c>
      <c r="D105">
        <v>3</v>
      </c>
      <c r="E105">
        <v>6</v>
      </c>
      <c r="F105">
        <v>3</v>
      </c>
      <c r="G105">
        <v>1</v>
      </c>
      <c r="H105">
        <v>2</v>
      </c>
      <c r="I105">
        <v>4</v>
      </c>
      <c r="J105">
        <v>6</v>
      </c>
      <c r="K105">
        <f>F105+G105+H105+I105+J105</f>
        <v>16</v>
      </c>
      <c r="L105">
        <f>I105-(D105)+1</f>
        <v>2</v>
      </c>
      <c r="M105">
        <f>I105+J105-D105+1</f>
        <v>8</v>
      </c>
      <c r="N105" s="3">
        <v>2.6200000000000001E-2</v>
      </c>
      <c r="O105" s="3">
        <v>1.52E-2</v>
      </c>
      <c r="P105" s="3" t="s">
        <v>10</v>
      </c>
      <c r="Q105" s="5">
        <v>1</v>
      </c>
      <c r="R105" s="5">
        <v>1</v>
      </c>
    </row>
    <row r="106" spans="1:19">
      <c r="A106">
        <v>105</v>
      </c>
      <c r="B106">
        <v>7</v>
      </c>
      <c r="C106" t="s">
        <v>7</v>
      </c>
      <c r="D106">
        <v>4</v>
      </c>
      <c r="E106">
        <v>6</v>
      </c>
      <c r="F106">
        <v>3</v>
      </c>
      <c r="G106">
        <v>1</v>
      </c>
      <c r="H106">
        <v>3</v>
      </c>
      <c r="I106">
        <v>4</v>
      </c>
      <c r="J106" t="s">
        <v>5</v>
      </c>
      <c r="K106" t="s">
        <v>5</v>
      </c>
      <c r="L106">
        <f>I106-(D106)+1</f>
        <v>1</v>
      </c>
      <c r="M106" t="s">
        <v>6</v>
      </c>
      <c r="N106" s="3">
        <v>2.41E-2</v>
      </c>
      <c r="O106" s="3" t="s">
        <v>5</v>
      </c>
      <c r="P106" s="3" t="s">
        <v>5</v>
      </c>
      <c r="Q106">
        <v>1</v>
      </c>
      <c r="R106" s="5">
        <v>0</v>
      </c>
      <c r="S106" t="s">
        <v>14</v>
      </c>
    </row>
    <row r="107" spans="1:19">
      <c r="A107">
        <v>106</v>
      </c>
      <c r="B107">
        <v>7</v>
      </c>
      <c r="C107" t="s">
        <v>8</v>
      </c>
      <c r="D107">
        <v>3</v>
      </c>
      <c r="E107">
        <v>6</v>
      </c>
      <c r="F107">
        <v>3</v>
      </c>
      <c r="G107">
        <v>1</v>
      </c>
      <c r="H107">
        <v>2</v>
      </c>
      <c r="I107">
        <v>4</v>
      </c>
      <c r="J107">
        <v>6</v>
      </c>
      <c r="K107">
        <f>F107+G107+H107+I107+J107</f>
        <v>16</v>
      </c>
      <c r="L107">
        <f>I107-(D107)+1</f>
        <v>2</v>
      </c>
      <c r="M107">
        <f>I107+J107-D107+1</f>
        <v>8</v>
      </c>
      <c r="N107" s="3">
        <v>2.5899999999999999E-2</v>
      </c>
      <c r="O107" s="3">
        <v>1.52E-2</v>
      </c>
      <c r="P107" s="3" t="s">
        <v>10</v>
      </c>
      <c r="Q107" s="5">
        <v>1</v>
      </c>
      <c r="R107" s="5">
        <v>1</v>
      </c>
    </row>
    <row r="108" spans="1:19">
      <c r="A108">
        <v>107</v>
      </c>
      <c r="B108">
        <v>7</v>
      </c>
      <c r="C108" t="s">
        <v>8</v>
      </c>
      <c r="D108">
        <v>4</v>
      </c>
      <c r="E108">
        <v>6</v>
      </c>
      <c r="F108">
        <v>3</v>
      </c>
      <c r="G108">
        <v>1</v>
      </c>
      <c r="H108">
        <v>2</v>
      </c>
      <c r="I108">
        <v>4</v>
      </c>
      <c r="J108">
        <v>6</v>
      </c>
      <c r="K108">
        <f>F108+G108+H108+I108+J108</f>
        <v>16</v>
      </c>
      <c r="L108">
        <f>I108-(D108)+1</f>
        <v>1</v>
      </c>
      <c r="M108">
        <f>I108+J108-D108+1</f>
        <v>7</v>
      </c>
      <c r="N108" s="3">
        <v>3.5099999999999999E-2</v>
      </c>
      <c r="O108" s="3">
        <v>2.4899999999999999E-2</v>
      </c>
      <c r="P108" s="3" t="s">
        <v>9</v>
      </c>
      <c r="Q108" s="5">
        <v>1</v>
      </c>
      <c r="R108" s="5">
        <v>1</v>
      </c>
    </row>
    <row r="109" spans="1:19">
      <c r="A109">
        <v>108</v>
      </c>
      <c r="B109">
        <v>7</v>
      </c>
      <c r="C109" t="s">
        <v>7</v>
      </c>
      <c r="D109">
        <v>4</v>
      </c>
      <c r="E109">
        <v>100</v>
      </c>
      <c r="F109">
        <v>3</v>
      </c>
      <c r="G109">
        <v>2</v>
      </c>
      <c r="H109">
        <v>2</v>
      </c>
      <c r="I109">
        <v>4</v>
      </c>
      <c r="J109">
        <v>6</v>
      </c>
      <c r="K109">
        <f>F109+G109+H109+I109+J109</f>
        <v>17</v>
      </c>
      <c r="L109">
        <f>I109-(D109)+1</f>
        <v>1</v>
      </c>
      <c r="M109">
        <f>I109+J109-D109+1</f>
        <v>7</v>
      </c>
      <c r="N109" s="3">
        <v>3.1199999999999999E-2</v>
      </c>
      <c r="O109" s="3">
        <v>2.3599999999999999E-2</v>
      </c>
      <c r="P109" s="3" t="s">
        <v>9</v>
      </c>
      <c r="Q109" s="5">
        <v>1</v>
      </c>
      <c r="R109" s="5">
        <v>1</v>
      </c>
    </row>
    <row r="110" spans="1:19">
      <c r="A110">
        <v>109</v>
      </c>
      <c r="B110">
        <v>7</v>
      </c>
      <c r="C110" t="s">
        <v>8</v>
      </c>
      <c r="D110">
        <v>3</v>
      </c>
      <c r="E110">
        <v>7</v>
      </c>
      <c r="F110">
        <v>3</v>
      </c>
      <c r="G110">
        <v>1</v>
      </c>
      <c r="H110">
        <v>2</v>
      </c>
      <c r="I110">
        <v>4</v>
      </c>
      <c r="J110">
        <v>6</v>
      </c>
      <c r="K110">
        <f>F110+G110+H110+I110+J110</f>
        <v>16</v>
      </c>
      <c r="L110">
        <f>I110-(D110)+1</f>
        <v>2</v>
      </c>
      <c r="M110">
        <f>I110+J110-D110+1</f>
        <v>8</v>
      </c>
      <c r="N110" s="3">
        <v>2.7699999999999999E-2</v>
      </c>
      <c r="O110" s="3">
        <v>1.72E-2</v>
      </c>
      <c r="P110" s="3" t="s">
        <v>10</v>
      </c>
      <c r="Q110" s="5">
        <v>1</v>
      </c>
      <c r="R110" s="5">
        <v>1</v>
      </c>
    </row>
    <row r="111" spans="1:19">
      <c r="A111">
        <v>110</v>
      </c>
      <c r="B111">
        <v>7</v>
      </c>
      <c r="C111" t="s">
        <v>8</v>
      </c>
      <c r="D111">
        <v>4</v>
      </c>
      <c r="E111">
        <v>7</v>
      </c>
      <c r="F111">
        <v>3</v>
      </c>
      <c r="G111">
        <v>1</v>
      </c>
      <c r="H111">
        <v>2</v>
      </c>
      <c r="I111">
        <v>4</v>
      </c>
      <c r="J111">
        <v>6</v>
      </c>
      <c r="K111">
        <f>F111+G111+H111+I111+J111</f>
        <v>16</v>
      </c>
      <c r="L111">
        <f>I111-(D111)+1</f>
        <v>1</v>
      </c>
      <c r="M111">
        <f>I111+J111-D111+1</f>
        <v>7</v>
      </c>
      <c r="N111" s="3">
        <v>3.4299999999999997E-2</v>
      </c>
      <c r="O111" s="3">
        <v>2.41E-2</v>
      </c>
      <c r="P111" s="3" t="s">
        <v>9</v>
      </c>
      <c r="Q111" s="5">
        <v>1</v>
      </c>
      <c r="R111" s="5">
        <v>1</v>
      </c>
    </row>
    <row r="112" spans="1:19">
      <c r="A112">
        <v>111</v>
      </c>
      <c r="B112">
        <v>7</v>
      </c>
      <c r="C112" t="s">
        <v>7</v>
      </c>
      <c r="D112">
        <v>3</v>
      </c>
      <c r="E112">
        <v>8</v>
      </c>
      <c r="F112">
        <v>3</v>
      </c>
      <c r="G112">
        <v>1</v>
      </c>
      <c r="H112">
        <v>2</v>
      </c>
      <c r="I112">
        <v>4</v>
      </c>
      <c r="J112">
        <v>6</v>
      </c>
      <c r="K112">
        <f>F112+G112+H112+I112+J112</f>
        <v>16</v>
      </c>
      <c r="L112">
        <f>I112-(D112)+1</f>
        <v>2</v>
      </c>
      <c r="M112">
        <f>I112+J112-D112+1</f>
        <v>8</v>
      </c>
      <c r="N112" s="3">
        <v>3.7699999999999997E-2</v>
      </c>
      <c r="O112" s="3">
        <v>2.35E-2</v>
      </c>
      <c r="P112" s="3" t="s">
        <v>9</v>
      </c>
      <c r="Q112" s="5">
        <v>1</v>
      </c>
      <c r="R112" s="5">
        <v>1</v>
      </c>
    </row>
    <row r="113" spans="1:19">
      <c r="A113">
        <v>112</v>
      </c>
      <c r="B113">
        <v>7</v>
      </c>
      <c r="C113" t="s">
        <v>7</v>
      </c>
      <c r="D113">
        <v>4</v>
      </c>
      <c r="E113">
        <v>8</v>
      </c>
      <c r="F113">
        <v>2</v>
      </c>
      <c r="G113">
        <v>2</v>
      </c>
      <c r="H113">
        <v>2</v>
      </c>
      <c r="I113">
        <v>4</v>
      </c>
      <c r="J113">
        <v>6</v>
      </c>
      <c r="K113">
        <f>F113+G113+H113+I113+J113</f>
        <v>16</v>
      </c>
      <c r="L113">
        <f>I113-(D113)+1</f>
        <v>1</v>
      </c>
      <c r="M113">
        <f>I113+J113-D113+1</f>
        <v>7</v>
      </c>
      <c r="N113" s="3">
        <v>3.15E-2</v>
      </c>
      <c r="O113" s="3">
        <v>2.24E-2</v>
      </c>
      <c r="P113" s="3" t="s">
        <v>9</v>
      </c>
      <c r="Q113" s="5">
        <v>1</v>
      </c>
      <c r="R113" s="5">
        <v>1</v>
      </c>
    </row>
    <row r="114" spans="1:19">
      <c r="A114">
        <v>113</v>
      </c>
      <c r="B114">
        <v>7</v>
      </c>
      <c r="C114" t="s">
        <v>8</v>
      </c>
      <c r="D114">
        <v>3</v>
      </c>
      <c r="E114">
        <v>8</v>
      </c>
      <c r="F114">
        <v>3</v>
      </c>
      <c r="G114">
        <v>1</v>
      </c>
      <c r="H114">
        <v>2</v>
      </c>
      <c r="I114">
        <v>4</v>
      </c>
      <c r="J114">
        <v>6</v>
      </c>
      <c r="K114">
        <f>F114+G114+H114+I114+J114</f>
        <v>16</v>
      </c>
      <c r="L114">
        <f>I114-(D114)+1</f>
        <v>2</v>
      </c>
      <c r="M114">
        <f>I114+J114-D114+1</f>
        <v>8</v>
      </c>
      <c r="N114" s="3">
        <v>2.9000000000000001E-2</v>
      </c>
      <c r="O114" s="3">
        <v>1.9400000000000001E-2</v>
      </c>
      <c r="P114" s="3" t="s">
        <v>10</v>
      </c>
      <c r="Q114" s="5">
        <v>1</v>
      </c>
      <c r="R114" s="5">
        <v>1</v>
      </c>
    </row>
    <row r="115" spans="1:19">
      <c r="A115">
        <v>114</v>
      </c>
      <c r="B115">
        <v>7</v>
      </c>
      <c r="C115" t="s">
        <v>8</v>
      </c>
      <c r="D115">
        <v>4</v>
      </c>
      <c r="E115">
        <v>8</v>
      </c>
      <c r="F115">
        <v>3</v>
      </c>
      <c r="G115">
        <v>1</v>
      </c>
      <c r="H115">
        <v>2</v>
      </c>
      <c r="I115">
        <v>4</v>
      </c>
      <c r="J115">
        <v>6</v>
      </c>
      <c r="K115">
        <f>F115+G115+H115+I115+J115</f>
        <v>16</v>
      </c>
      <c r="L115">
        <f>I115-(D115)+1</f>
        <v>1</v>
      </c>
      <c r="M115">
        <f>I115+J115-D115+1</f>
        <v>7</v>
      </c>
      <c r="N115" s="3">
        <v>3.7100000000000001E-2</v>
      </c>
      <c r="O115" s="3">
        <v>2.69E-2</v>
      </c>
      <c r="P115" s="3" t="s">
        <v>9</v>
      </c>
      <c r="Q115" s="5">
        <v>1</v>
      </c>
      <c r="R115" s="5">
        <v>1</v>
      </c>
    </row>
    <row r="116" spans="1:19">
      <c r="A116">
        <v>115</v>
      </c>
      <c r="B116">
        <v>7</v>
      </c>
      <c r="C116" t="s">
        <v>7</v>
      </c>
      <c r="D116">
        <v>3</v>
      </c>
      <c r="E116">
        <v>9</v>
      </c>
      <c r="F116">
        <v>2</v>
      </c>
      <c r="G116">
        <v>2</v>
      </c>
      <c r="H116">
        <v>2</v>
      </c>
      <c r="I116">
        <v>3</v>
      </c>
      <c r="J116">
        <v>6</v>
      </c>
      <c r="K116">
        <f>F116+G116+H116+I116+J116</f>
        <v>15</v>
      </c>
      <c r="L116">
        <f>I116-(D116)+1</f>
        <v>1</v>
      </c>
      <c r="M116">
        <f>I116+J116-D116+1</f>
        <v>7</v>
      </c>
      <c r="N116" s="3">
        <v>3.4200000000000001E-2</v>
      </c>
      <c r="O116" s="3">
        <v>2.4199999999999999E-2</v>
      </c>
      <c r="P116" s="3" t="s">
        <v>9</v>
      </c>
      <c r="Q116" s="5">
        <v>1</v>
      </c>
      <c r="R116" s="5">
        <v>1</v>
      </c>
    </row>
    <row r="117" spans="1:19">
      <c r="A117">
        <v>116</v>
      </c>
      <c r="B117">
        <v>7</v>
      </c>
      <c r="C117" t="s">
        <v>7</v>
      </c>
      <c r="D117">
        <v>4</v>
      </c>
      <c r="E117">
        <v>9</v>
      </c>
      <c r="F117">
        <v>2</v>
      </c>
      <c r="G117">
        <v>2</v>
      </c>
      <c r="H117">
        <v>2</v>
      </c>
      <c r="I117">
        <v>4</v>
      </c>
      <c r="J117">
        <v>6</v>
      </c>
      <c r="K117">
        <f>F117+G117+H117+I117+J117</f>
        <v>16</v>
      </c>
      <c r="L117">
        <f>I117-(D117)+1</f>
        <v>1</v>
      </c>
      <c r="M117">
        <f>I117+J117-D117+1</f>
        <v>7</v>
      </c>
      <c r="N117" s="3">
        <v>2.8400000000000002E-2</v>
      </c>
      <c r="O117" s="3">
        <v>1.9800000000000002E-2</v>
      </c>
      <c r="P117" s="3" t="s">
        <v>10</v>
      </c>
      <c r="Q117" s="5">
        <v>1</v>
      </c>
      <c r="R117" s="5">
        <v>1</v>
      </c>
    </row>
    <row r="118" spans="1:19">
      <c r="A118">
        <v>117</v>
      </c>
      <c r="B118">
        <v>7</v>
      </c>
      <c r="C118" t="s">
        <v>8</v>
      </c>
      <c r="D118">
        <v>3</v>
      </c>
      <c r="E118">
        <v>9</v>
      </c>
      <c r="F118">
        <v>2</v>
      </c>
      <c r="G118">
        <v>2</v>
      </c>
      <c r="H118">
        <v>2</v>
      </c>
      <c r="I118">
        <v>3</v>
      </c>
      <c r="J118">
        <v>6</v>
      </c>
      <c r="K118">
        <f>F118+G118+H118+I118+J118</f>
        <v>15</v>
      </c>
      <c r="L118">
        <f>I118-(D118)+1</f>
        <v>1</v>
      </c>
      <c r="M118">
        <f>I118+J118-D118+1</f>
        <v>7</v>
      </c>
      <c r="N118" s="3">
        <v>3.8300000000000001E-2</v>
      </c>
      <c r="O118" s="3">
        <v>2.6499999999999999E-2</v>
      </c>
      <c r="P118" s="3" t="s">
        <v>9</v>
      </c>
      <c r="Q118" s="5">
        <v>1</v>
      </c>
      <c r="R118" s="5">
        <v>1</v>
      </c>
    </row>
    <row r="119" spans="1:19">
      <c r="A119">
        <v>118</v>
      </c>
      <c r="B119">
        <v>7</v>
      </c>
      <c r="C119" t="s">
        <v>7</v>
      </c>
      <c r="D119">
        <v>3</v>
      </c>
      <c r="E119">
        <v>10</v>
      </c>
      <c r="F119">
        <v>2</v>
      </c>
      <c r="G119">
        <v>2</v>
      </c>
      <c r="H119">
        <v>2</v>
      </c>
      <c r="I119">
        <v>4</v>
      </c>
      <c r="J119">
        <v>6</v>
      </c>
      <c r="K119">
        <f>F119+G119+H119+I119+J119</f>
        <v>16</v>
      </c>
      <c r="L119">
        <f>I119-(D119)+1</f>
        <v>2</v>
      </c>
      <c r="M119">
        <f>I119+J119-D119+1</f>
        <v>8</v>
      </c>
      <c r="N119" s="3">
        <v>3.9800000000000002E-2</v>
      </c>
      <c r="O119" s="3">
        <v>2.6100000000000002E-2</v>
      </c>
      <c r="P119" s="3" t="s">
        <v>9</v>
      </c>
      <c r="Q119" s="5">
        <v>1</v>
      </c>
      <c r="R119" s="5">
        <v>1</v>
      </c>
    </row>
    <row r="120" spans="1:19">
      <c r="A120">
        <v>119</v>
      </c>
      <c r="B120">
        <v>7</v>
      </c>
      <c r="C120" t="s">
        <v>7</v>
      </c>
      <c r="D120">
        <v>4</v>
      </c>
      <c r="E120">
        <v>10</v>
      </c>
      <c r="F120">
        <v>2</v>
      </c>
      <c r="G120">
        <v>2</v>
      </c>
      <c r="H120">
        <v>2</v>
      </c>
      <c r="I120">
        <v>4</v>
      </c>
      <c r="J120">
        <v>6</v>
      </c>
      <c r="K120">
        <f>F120+G120+H120+I120+J120</f>
        <v>16</v>
      </c>
      <c r="L120">
        <f>I120-(D120)+1</f>
        <v>1</v>
      </c>
      <c r="M120">
        <f>I120+J120-D120+1</f>
        <v>7</v>
      </c>
      <c r="N120" s="3">
        <v>3.6400000000000002E-2</v>
      </c>
      <c r="O120" s="3">
        <v>2.6700000000000002E-2</v>
      </c>
      <c r="P120" s="3" t="s">
        <v>9</v>
      </c>
      <c r="Q120" s="5">
        <v>1</v>
      </c>
      <c r="R120" s="5">
        <v>1</v>
      </c>
    </row>
    <row r="121" spans="1:19">
      <c r="A121">
        <v>120</v>
      </c>
      <c r="B121">
        <v>7</v>
      </c>
      <c r="C121" t="s">
        <v>8</v>
      </c>
      <c r="D121">
        <v>3</v>
      </c>
      <c r="E121">
        <v>10</v>
      </c>
      <c r="F121">
        <v>2</v>
      </c>
      <c r="G121">
        <v>2</v>
      </c>
      <c r="H121">
        <v>2</v>
      </c>
      <c r="I121">
        <v>3</v>
      </c>
      <c r="J121">
        <v>6</v>
      </c>
      <c r="K121">
        <f>F121+G121+H121+I121+J121</f>
        <v>15</v>
      </c>
      <c r="L121">
        <f>I121-(D121)+1</f>
        <v>1</v>
      </c>
      <c r="M121">
        <f>I121+J121-D121+1</f>
        <v>7</v>
      </c>
      <c r="N121" s="3">
        <v>2.5899999999999999E-2</v>
      </c>
      <c r="O121" s="3">
        <v>1.9099999999999999E-2</v>
      </c>
      <c r="P121" s="3" t="s">
        <v>10</v>
      </c>
      <c r="Q121" s="5">
        <v>1</v>
      </c>
      <c r="R121" s="5">
        <v>1</v>
      </c>
    </row>
    <row r="122" spans="1:19">
      <c r="A122">
        <v>121</v>
      </c>
      <c r="B122">
        <v>7</v>
      </c>
      <c r="C122" t="s">
        <v>8</v>
      </c>
      <c r="D122">
        <v>4</v>
      </c>
      <c r="E122">
        <v>10</v>
      </c>
      <c r="F122">
        <v>3</v>
      </c>
      <c r="G122">
        <v>1</v>
      </c>
      <c r="H122">
        <v>2</v>
      </c>
      <c r="I122">
        <v>4</v>
      </c>
      <c r="J122">
        <v>6</v>
      </c>
      <c r="K122">
        <f>F122+G122+H122+I122+J122</f>
        <v>16</v>
      </c>
      <c r="L122">
        <f>I122-(D122)+1</f>
        <v>1</v>
      </c>
      <c r="M122">
        <f>I122+J122-D122+1</f>
        <v>7</v>
      </c>
      <c r="N122" s="3">
        <v>2.93E-2</v>
      </c>
      <c r="O122" s="3">
        <v>2.1899999999999999E-2</v>
      </c>
      <c r="P122" s="3" t="s">
        <v>10</v>
      </c>
      <c r="Q122" s="5">
        <v>1</v>
      </c>
      <c r="R122" s="5">
        <v>1</v>
      </c>
    </row>
    <row r="123" spans="1:19">
      <c r="A123">
        <v>122</v>
      </c>
      <c r="B123">
        <v>7</v>
      </c>
      <c r="C123" t="s">
        <v>7</v>
      </c>
      <c r="D123">
        <v>3</v>
      </c>
      <c r="E123">
        <v>11</v>
      </c>
      <c r="F123">
        <v>2</v>
      </c>
      <c r="G123">
        <v>2</v>
      </c>
      <c r="H123">
        <v>2</v>
      </c>
      <c r="I123">
        <v>4</v>
      </c>
      <c r="J123">
        <v>6</v>
      </c>
      <c r="K123">
        <f>F123+G123+H123+I123+J123</f>
        <v>16</v>
      </c>
      <c r="L123">
        <f>I123-(D123)+1</f>
        <v>2</v>
      </c>
      <c r="M123">
        <f>I123+J123-D123+1</f>
        <v>8</v>
      </c>
      <c r="N123" s="3">
        <v>3.2099999999999997E-2</v>
      </c>
      <c r="O123" s="3">
        <v>2.07E-2</v>
      </c>
      <c r="P123" s="3" t="s">
        <v>9</v>
      </c>
      <c r="Q123" s="5">
        <v>1</v>
      </c>
      <c r="R123" s="5">
        <v>1</v>
      </c>
    </row>
    <row r="124" spans="1:19">
      <c r="A124">
        <v>123</v>
      </c>
      <c r="B124">
        <v>7</v>
      </c>
      <c r="C124" t="s">
        <v>7</v>
      </c>
      <c r="D124">
        <v>4</v>
      </c>
      <c r="E124">
        <v>11</v>
      </c>
      <c r="F124">
        <v>2</v>
      </c>
      <c r="G124">
        <v>2</v>
      </c>
      <c r="H124">
        <v>2</v>
      </c>
      <c r="I124">
        <v>4</v>
      </c>
      <c r="J124">
        <v>6</v>
      </c>
      <c r="K124">
        <f>F124+G124+H124+I124+J124</f>
        <v>16</v>
      </c>
      <c r="L124">
        <f>I124-(D124)+1</f>
        <v>1</v>
      </c>
      <c r="M124">
        <f>I124+J124-D124+1</f>
        <v>7</v>
      </c>
      <c r="N124" s="3">
        <v>3.73E-2</v>
      </c>
      <c r="O124" s="3">
        <v>2.7199999999999998E-2</v>
      </c>
      <c r="P124" s="3" t="s">
        <v>12</v>
      </c>
      <c r="Q124" s="5">
        <v>1</v>
      </c>
      <c r="R124" s="5">
        <v>1</v>
      </c>
    </row>
    <row r="125" spans="1:19">
      <c r="A125">
        <v>124</v>
      </c>
      <c r="B125">
        <v>7</v>
      </c>
      <c r="C125" t="s">
        <v>8</v>
      </c>
      <c r="D125">
        <v>3</v>
      </c>
      <c r="E125">
        <v>11</v>
      </c>
      <c r="F125">
        <v>2</v>
      </c>
      <c r="G125">
        <v>2</v>
      </c>
      <c r="H125">
        <v>2</v>
      </c>
      <c r="I125">
        <v>4</v>
      </c>
      <c r="J125" t="s">
        <v>5</v>
      </c>
      <c r="K125" t="s">
        <v>5</v>
      </c>
      <c r="L125">
        <f>I125-(D125)+1</f>
        <v>2</v>
      </c>
      <c r="M125" t="s">
        <v>6</v>
      </c>
      <c r="N125" s="3">
        <v>2.8199999999999999E-2</v>
      </c>
      <c r="O125" s="3" t="s">
        <v>5</v>
      </c>
      <c r="P125" s="3" t="s">
        <v>13</v>
      </c>
      <c r="Q125" s="5">
        <v>1</v>
      </c>
      <c r="R125" s="5">
        <v>0</v>
      </c>
      <c r="S125" t="s">
        <v>16</v>
      </c>
    </row>
    <row r="126" spans="1:19">
      <c r="A126">
        <v>125</v>
      </c>
      <c r="B126">
        <v>7</v>
      </c>
      <c r="C126" t="s">
        <v>8</v>
      </c>
      <c r="D126">
        <v>4</v>
      </c>
      <c r="E126">
        <v>11</v>
      </c>
      <c r="F126">
        <v>2</v>
      </c>
      <c r="G126">
        <v>2</v>
      </c>
      <c r="H126">
        <v>2</v>
      </c>
      <c r="I126">
        <v>4</v>
      </c>
      <c r="J126">
        <v>6</v>
      </c>
      <c r="K126">
        <f>F126+G126+H126+I126+J126</f>
        <v>16</v>
      </c>
      <c r="L126">
        <f>I126-(D126)+1</f>
        <v>1</v>
      </c>
      <c r="M126">
        <f>I126+J126-D126+1</f>
        <v>7</v>
      </c>
      <c r="N126" s="3">
        <v>2.7699999999999999E-2</v>
      </c>
      <c r="O126" s="3">
        <v>1.9300000000000001E-2</v>
      </c>
      <c r="P126" s="3" t="s">
        <v>10</v>
      </c>
      <c r="Q126" s="5">
        <v>1</v>
      </c>
      <c r="R126" s="5">
        <v>1</v>
      </c>
    </row>
    <row r="127" spans="1:19">
      <c r="A127">
        <v>126</v>
      </c>
      <c r="B127">
        <v>7</v>
      </c>
      <c r="C127" t="s">
        <v>7</v>
      </c>
      <c r="D127">
        <v>3</v>
      </c>
      <c r="E127">
        <v>12</v>
      </c>
      <c r="F127">
        <v>2</v>
      </c>
      <c r="G127">
        <v>2</v>
      </c>
      <c r="H127">
        <v>2</v>
      </c>
      <c r="I127">
        <v>4</v>
      </c>
      <c r="J127">
        <v>6</v>
      </c>
      <c r="K127">
        <f>F127+G127+H127+I127+J127</f>
        <v>16</v>
      </c>
      <c r="L127">
        <f>I127-(D127)+1</f>
        <v>2</v>
      </c>
      <c r="M127">
        <f>I127+J127-D127+1</f>
        <v>8</v>
      </c>
      <c r="N127" s="3">
        <v>2.4500000000000001E-2</v>
      </c>
      <c r="O127" s="3">
        <v>1.52E-2</v>
      </c>
      <c r="P127" s="3" t="s">
        <v>10</v>
      </c>
      <c r="Q127" s="5">
        <v>1</v>
      </c>
      <c r="R127" s="5">
        <v>1</v>
      </c>
    </row>
    <row r="128" spans="1:19">
      <c r="A128">
        <v>127</v>
      </c>
      <c r="B128">
        <v>7</v>
      </c>
      <c r="C128" t="s">
        <v>7</v>
      </c>
      <c r="D128">
        <v>4</v>
      </c>
      <c r="E128">
        <v>12</v>
      </c>
      <c r="F128">
        <v>2</v>
      </c>
      <c r="G128">
        <v>2</v>
      </c>
      <c r="H128">
        <v>2</v>
      </c>
      <c r="I128">
        <v>4</v>
      </c>
      <c r="J128">
        <v>6</v>
      </c>
      <c r="K128">
        <f>F128+G128+H128+I128+J128</f>
        <v>16</v>
      </c>
      <c r="L128">
        <f>I128-(D128)+1</f>
        <v>1</v>
      </c>
      <c r="M128">
        <f>I128+J128-D128+1</f>
        <v>7</v>
      </c>
      <c r="N128" s="3">
        <v>2.8199999999999999E-2</v>
      </c>
      <c r="O128" s="3">
        <v>2.0799999999999999E-2</v>
      </c>
      <c r="P128" s="3" t="s">
        <v>9</v>
      </c>
      <c r="Q128" s="5">
        <v>1</v>
      </c>
      <c r="R128" s="5">
        <v>1</v>
      </c>
    </row>
    <row r="129" spans="1:18">
      <c r="A129">
        <v>128</v>
      </c>
      <c r="B129">
        <v>7</v>
      </c>
      <c r="C129" t="s">
        <v>8</v>
      </c>
      <c r="D129">
        <v>3</v>
      </c>
      <c r="E129">
        <v>12</v>
      </c>
      <c r="F129">
        <v>2</v>
      </c>
      <c r="G129">
        <v>2</v>
      </c>
      <c r="H129">
        <v>2</v>
      </c>
      <c r="I129">
        <v>4</v>
      </c>
      <c r="J129">
        <v>6</v>
      </c>
      <c r="K129">
        <f>F129+G129+H129+I129+J129</f>
        <v>16</v>
      </c>
      <c r="L129">
        <f>I129-(D129)+1</f>
        <v>2</v>
      </c>
      <c r="M129">
        <f>I129+J129-D129+1</f>
        <v>8</v>
      </c>
      <c r="N129" s="3">
        <v>3.2899999999999999E-2</v>
      </c>
      <c r="O129" s="3">
        <v>2.23E-2</v>
      </c>
      <c r="P129" s="3" t="s">
        <v>9</v>
      </c>
      <c r="Q129" s="5">
        <v>1</v>
      </c>
      <c r="R129" s="5">
        <v>1</v>
      </c>
    </row>
    <row r="130" spans="1:18">
      <c r="A130">
        <v>129</v>
      </c>
      <c r="B130">
        <v>7</v>
      </c>
      <c r="C130" t="s">
        <v>8</v>
      </c>
      <c r="D130">
        <v>4</v>
      </c>
      <c r="E130">
        <v>12</v>
      </c>
      <c r="F130">
        <v>2</v>
      </c>
      <c r="G130">
        <v>2</v>
      </c>
      <c r="H130">
        <v>2</v>
      </c>
      <c r="I130">
        <v>4</v>
      </c>
      <c r="J130">
        <v>5</v>
      </c>
      <c r="K130">
        <f>F130+G130+H130+I130+J130</f>
        <v>15</v>
      </c>
      <c r="L130">
        <f>I130-(D130)+1</f>
        <v>1</v>
      </c>
      <c r="M130">
        <f>I130+J130-D130+1</f>
        <v>6</v>
      </c>
      <c r="N130" s="3">
        <v>2.9000000000000001E-2</v>
      </c>
      <c r="O130" s="3">
        <v>2.1399999999999999E-2</v>
      </c>
      <c r="P130" s="3" t="s">
        <v>9</v>
      </c>
      <c r="Q130" s="5">
        <v>1</v>
      </c>
      <c r="R130" s="5">
        <v>1</v>
      </c>
    </row>
    <row r="131" spans="1:18">
      <c r="A131">
        <v>130</v>
      </c>
      <c r="C131" t="s">
        <v>67</v>
      </c>
      <c r="D131">
        <v>3</v>
      </c>
      <c r="E131">
        <v>13</v>
      </c>
      <c r="F131">
        <v>2</v>
      </c>
      <c r="G131">
        <v>2</v>
      </c>
      <c r="H131">
        <v>2</v>
      </c>
      <c r="I131">
        <v>3</v>
      </c>
      <c r="J131">
        <v>7</v>
      </c>
      <c r="K131">
        <f>F131+G131+H131+I131+J131</f>
        <v>16</v>
      </c>
      <c r="L131">
        <f>I131-(D131)+1</f>
        <v>1</v>
      </c>
      <c r="M131">
        <f>I131+J131-D131+1</f>
        <v>8</v>
      </c>
      <c r="N131" s="3">
        <v>2.7E-2</v>
      </c>
      <c r="O131" s="3">
        <v>1.84E-2</v>
      </c>
      <c r="P131" s="3" t="s">
        <v>70</v>
      </c>
      <c r="Q131" s="5">
        <v>1</v>
      </c>
      <c r="R131" s="5">
        <v>1</v>
      </c>
    </row>
    <row r="132" spans="1:18">
      <c r="A132">
        <v>131</v>
      </c>
      <c r="C132" t="s">
        <v>67</v>
      </c>
      <c r="D132">
        <v>4</v>
      </c>
      <c r="E132">
        <v>13</v>
      </c>
      <c r="F132">
        <v>3</v>
      </c>
      <c r="G132">
        <v>1</v>
      </c>
      <c r="H132">
        <v>2</v>
      </c>
      <c r="I132">
        <v>4</v>
      </c>
      <c r="J132">
        <v>6</v>
      </c>
      <c r="K132">
        <f t="shared" ref="K132:K149" si="0">F132+G132+H132+I132+J132</f>
        <v>16</v>
      </c>
      <c r="L132">
        <f t="shared" ref="L132:L149" si="1">I132-(D132)+1</f>
        <v>1</v>
      </c>
      <c r="M132">
        <f t="shared" ref="M132:M149" si="2">I132+J132-D132+1</f>
        <v>7</v>
      </c>
      <c r="N132" s="3">
        <v>3.1899999999999998E-2</v>
      </c>
      <c r="O132" s="3">
        <v>2.2700000000000001E-2</v>
      </c>
      <c r="P132" s="3" t="s">
        <v>71</v>
      </c>
      <c r="Q132" s="5">
        <v>1</v>
      </c>
      <c r="R132" s="5">
        <v>1</v>
      </c>
    </row>
    <row r="133" spans="1:18">
      <c r="A133">
        <v>132</v>
      </c>
      <c r="C133" t="s">
        <v>68</v>
      </c>
      <c r="D133">
        <v>3</v>
      </c>
      <c r="E133">
        <v>13</v>
      </c>
      <c r="F133">
        <v>3</v>
      </c>
      <c r="G133">
        <v>2</v>
      </c>
      <c r="H133">
        <v>2</v>
      </c>
      <c r="I133">
        <v>4</v>
      </c>
      <c r="J133">
        <v>6</v>
      </c>
      <c r="K133">
        <f t="shared" si="0"/>
        <v>17</v>
      </c>
      <c r="L133">
        <f t="shared" si="1"/>
        <v>2</v>
      </c>
      <c r="M133">
        <f t="shared" si="2"/>
        <v>8</v>
      </c>
      <c r="N133" s="3">
        <v>2.4799999999999999E-2</v>
      </c>
      <c r="O133" s="3">
        <v>1.6299999999999999E-2</v>
      </c>
      <c r="P133" s="3" t="s">
        <v>72</v>
      </c>
      <c r="Q133" s="5">
        <v>1</v>
      </c>
      <c r="R133" s="5">
        <v>1</v>
      </c>
    </row>
    <row r="134" spans="1:18">
      <c r="A134">
        <v>133</v>
      </c>
      <c r="C134" t="s">
        <v>69</v>
      </c>
      <c r="D134">
        <v>4</v>
      </c>
      <c r="E134">
        <v>13</v>
      </c>
      <c r="F134">
        <v>2</v>
      </c>
      <c r="G134">
        <v>2</v>
      </c>
      <c r="H134">
        <v>2</v>
      </c>
      <c r="I134">
        <v>4</v>
      </c>
      <c r="J134">
        <v>6</v>
      </c>
      <c r="K134">
        <f t="shared" si="0"/>
        <v>16</v>
      </c>
      <c r="L134">
        <f t="shared" si="1"/>
        <v>1</v>
      </c>
      <c r="M134">
        <f t="shared" si="2"/>
        <v>7</v>
      </c>
      <c r="N134" s="3">
        <v>2.4199999999999999E-2</v>
      </c>
      <c r="O134" s="3">
        <v>1.7299999999999999E-2</v>
      </c>
      <c r="P134" s="3" t="s">
        <v>72</v>
      </c>
      <c r="Q134" s="5">
        <v>1</v>
      </c>
      <c r="R134" s="5">
        <v>1</v>
      </c>
    </row>
    <row r="135" spans="1:18">
      <c r="A135">
        <v>134</v>
      </c>
      <c r="C135" t="s">
        <v>67</v>
      </c>
      <c r="D135">
        <v>3</v>
      </c>
      <c r="E135">
        <v>14</v>
      </c>
      <c r="F135">
        <v>2</v>
      </c>
      <c r="G135">
        <v>2</v>
      </c>
      <c r="H135">
        <v>2</v>
      </c>
      <c r="I135">
        <v>3</v>
      </c>
      <c r="J135">
        <v>7</v>
      </c>
      <c r="K135">
        <f t="shared" si="0"/>
        <v>16</v>
      </c>
      <c r="L135">
        <f t="shared" si="1"/>
        <v>1</v>
      </c>
      <c r="M135">
        <f t="shared" si="2"/>
        <v>8</v>
      </c>
      <c r="N135" s="3">
        <v>3.7400000000000003E-2</v>
      </c>
      <c r="O135" s="3">
        <v>2.4400000000000002E-2</v>
      </c>
      <c r="P135" s="3" t="s">
        <v>73</v>
      </c>
      <c r="Q135" s="5">
        <v>1</v>
      </c>
      <c r="R135" s="5">
        <v>1</v>
      </c>
    </row>
    <row r="136" spans="1:18">
      <c r="A136">
        <v>135</v>
      </c>
      <c r="C136" t="s">
        <v>67</v>
      </c>
      <c r="D136">
        <v>4</v>
      </c>
      <c r="E136">
        <v>14</v>
      </c>
      <c r="F136">
        <v>3</v>
      </c>
      <c r="G136">
        <v>1</v>
      </c>
      <c r="H136">
        <v>2</v>
      </c>
      <c r="I136">
        <v>4</v>
      </c>
      <c r="J136">
        <v>6</v>
      </c>
      <c r="K136">
        <f t="shared" si="0"/>
        <v>16</v>
      </c>
      <c r="L136">
        <f t="shared" si="1"/>
        <v>1</v>
      </c>
      <c r="M136">
        <f t="shared" si="2"/>
        <v>7</v>
      </c>
      <c r="N136" s="3">
        <v>2.6100000000000002E-2</v>
      </c>
      <c r="O136" s="3">
        <v>1.9199999999999998E-2</v>
      </c>
      <c r="P136" s="3" t="s">
        <v>70</v>
      </c>
      <c r="Q136" s="5">
        <v>1</v>
      </c>
      <c r="R136" s="5">
        <v>1</v>
      </c>
    </row>
    <row r="137" spans="1:18">
      <c r="A137">
        <v>136</v>
      </c>
      <c r="C137" t="s">
        <v>68</v>
      </c>
      <c r="D137">
        <v>3</v>
      </c>
      <c r="E137">
        <v>14</v>
      </c>
      <c r="F137">
        <v>2</v>
      </c>
      <c r="G137">
        <v>2</v>
      </c>
      <c r="H137">
        <v>2</v>
      </c>
      <c r="I137">
        <v>4</v>
      </c>
      <c r="J137">
        <v>6</v>
      </c>
      <c r="K137">
        <f t="shared" si="0"/>
        <v>16</v>
      </c>
      <c r="L137">
        <f t="shared" si="1"/>
        <v>2</v>
      </c>
      <c r="M137">
        <f t="shared" si="2"/>
        <v>8</v>
      </c>
      <c r="N137" s="3">
        <v>3.5000000000000003E-2</v>
      </c>
      <c r="O137" s="3">
        <v>2.29E-2</v>
      </c>
      <c r="P137" s="3" t="s">
        <v>74</v>
      </c>
      <c r="Q137" s="5">
        <v>1</v>
      </c>
      <c r="R137" s="5">
        <v>1</v>
      </c>
    </row>
    <row r="138" spans="1:18">
      <c r="A138">
        <v>137</v>
      </c>
      <c r="C138" t="s">
        <v>69</v>
      </c>
      <c r="D138">
        <v>4</v>
      </c>
      <c r="E138">
        <v>14</v>
      </c>
      <c r="F138">
        <v>2</v>
      </c>
      <c r="G138">
        <v>2</v>
      </c>
      <c r="H138">
        <v>2</v>
      </c>
      <c r="I138">
        <v>4</v>
      </c>
      <c r="J138">
        <v>6</v>
      </c>
      <c r="K138">
        <f t="shared" si="0"/>
        <v>16</v>
      </c>
      <c r="L138">
        <f t="shared" si="1"/>
        <v>1</v>
      </c>
      <c r="M138">
        <f t="shared" si="2"/>
        <v>7</v>
      </c>
      <c r="N138" s="3">
        <v>3.2300000000000002E-2</v>
      </c>
      <c r="O138" s="3">
        <v>2.4500000000000001E-2</v>
      </c>
      <c r="P138" s="3" t="s">
        <v>75</v>
      </c>
      <c r="Q138" s="5">
        <v>1</v>
      </c>
      <c r="R138" s="5">
        <v>1</v>
      </c>
    </row>
    <row r="139" spans="1:18">
      <c r="A139">
        <v>138</v>
      </c>
      <c r="C139" t="s">
        <v>67</v>
      </c>
      <c r="D139">
        <v>3</v>
      </c>
      <c r="E139">
        <v>15</v>
      </c>
      <c r="F139">
        <v>3</v>
      </c>
      <c r="G139">
        <v>1</v>
      </c>
      <c r="H139">
        <v>2</v>
      </c>
      <c r="I139">
        <v>4</v>
      </c>
      <c r="J139">
        <v>6</v>
      </c>
      <c r="K139">
        <f t="shared" si="0"/>
        <v>16</v>
      </c>
      <c r="L139">
        <f t="shared" si="1"/>
        <v>2</v>
      </c>
      <c r="M139">
        <f t="shared" si="2"/>
        <v>8</v>
      </c>
      <c r="N139" s="3">
        <v>2.86E-2</v>
      </c>
      <c r="O139" s="3">
        <v>1.72E-2</v>
      </c>
      <c r="P139" s="3" t="s">
        <v>70</v>
      </c>
      <c r="Q139" s="5">
        <v>1</v>
      </c>
      <c r="R139" s="5">
        <v>1</v>
      </c>
    </row>
    <row r="140" spans="1:18">
      <c r="A140">
        <v>139</v>
      </c>
      <c r="C140" t="s">
        <v>68</v>
      </c>
      <c r="D140">
        <v>3</v>
      </c>
      <c r="E140">
        <v>15</v>
      </c>
      <c r="F140">
        <v>2</v>
      </c>
      <c r="G140">
        <v>2</v>
      </c>
      <c r="H140">
        <v>2</v>
      </c>
      <c r="I140">
        <v>3</v>
      </c>
      <c r="J140">
        <v>6</v>
      </c>
      <c r="K140">
        <f t="shared" si="0"/>
        <v>15</v>
      </c>
      <c r="L140">
        <f t="shared" si="1"/>
        <v>1</v>
      </c>
      <c r="M140">
        <f t="shared" si="2"/>
        <v>7</v>
      </c>
      <c r="N140" s="3">
        <v>2.9499999999999998E-2</v>
      </c>
      <c r="O140" s="3">
        <v>2.0400000000000001E-2</v>
      </c>
      <c r="P140" s="3" t="s">
        <v>76</v>
      </c>
      <c r="Q140" s="5">
        <v>1</v>
      </c>
      <c r="R140" s="5">
        <v>1</v>
      </c>
    </row>
    <row r="141" spans="1:18">
      <c r="A141">
        <v>140</v>
      </c>
      <c r="C141" t="s">
        <v>69</v>
      </c>
      <c r="D141">
        <v>4</v>
      </c>
      <c r="E141">
        <v>15</v>
      </c>
      <c r="F141">
        <v>3</v>
      </c>
      <c r="G141">
        <v>1</v>
      </c>
      <c r="H141">
        <v>2</v>
      </c>
      <c r="I141">
        <v>4</v>
      </c>
      <c r="J141">
        <v>5</v>
      </c>
      <c r="K141">
        <f t="shared" si="0"/>
        <v>15</v>
      </c>
      <c r="L141">
        <f t="shared" si="1"/>
        <v>1</v>
      </c>
      <c r="M141">
        <f t="shared" si="2"/>
        <v>6</v>
      </c>
      <c r="N141" s="3">
        <v>2.76E-2</v>
      </c>
      <c r="O141" s="3">
        <v>1.9800000000000002E-2</v>
      </c>
      <c r="P141" s="3" t="s">
        <v>72</v>
      </c>
      <c r="Q141" s="5">
        <v>1</v>
      </c>
      <c r="R141" s="5">
        <v>1</v>
      </c>
    </row>
    <row r="142" spans="1:18">
      <c r="A142">
        <v>141</v>
      </c>
      <c r="C142" t="s">
        <v>67</v>
      </c>
      <c r="D142">
        <v>3</v>
      </c>
      <c r="E142">
        <v>16</v>
      </c>
      <c r="F142">
        <v>3</v>
      </c>
      <c r="G142">
        <v>1</v>
      </c>
      <c r="H142">
        <v>2</v>
      </c>
      <c r="I142">
        <v>3</v>
      </c>
      <c r="J142">
        <v>6</v>
      </c>
      <c r="K142">
        <f t="shared" si="0"/>
        <v>15</v>
      </c>
      <c r="L142">
        <f t="shared" si="1"/>
        <v>1</v>
      </c>
      <c r="M142">
        <f t="shared" si="2"/>
        <v>7</v>
      </c>
      <c r="N142" s="3">
        <v>3.5799999999999998E-2</v>
      </c>
      <c r="O142" s="3">
        <v>2.4199999999999999E-2</v>
      </c>
      <c r="P142" s="3" t="s">
        <v>73</v>
      </c>
      <c r="Q142" s="5">
        <v>1</v>
      </c>
      <c r="R142" s="5">
        <v>1</v>
      </c>
    </row>
    <row r="143" spans="1:18">
      <c r="A143">
        <v>142</v>
      </c>
      <c r="C143" t="s">
        <v>67</v>
      </c>
      <c r="D143">
        <v>4</v>
      </c>
      <c r="E143">
        <v>16</v>
      </c>
      <c r="F143">
        <v>3</v>
      </c>
      <c r="G143">
        <v>1</v>
      </c>
      <c r="H143">
        <v>2</v>
      </c>
      <c r="I143">
        <v>4</v>
      </c>
      <c r="J143">
        <v>6</v>
      </c>
      <c r="K143">
        <f t="shared" si="0"/>
        <v>16</v>
      </c>
      <c r="L143">
        <f t="shared" si="1"/>
        <v>1</v>
      </c>
      <c r="M143">
        <f t="shared" si="2"/>
        <v>7</v>
      </c>
      <c r="N143" s="3">
        <v>2.8199999999999999E-2</v>
      </c>
      <c r="O143" s="3">
        <v>2.0400000000000001E-2</v>
      </c>
      <c r="P143" s="3" t="s">
        <v>72</v>
      </c>
      <c r="Q143" s="5">
        <v>1</v>
      </c>
      <c r="R143" s="5">
        <v>1</v>
      </c>
    </row>
    <row r="144" spans="1:18">
      <c r="A144">
        <v>143</v>
      </c>
      <c r="C144" t="s">
        <v>68</v>
      </c>
      <c r="D144">
        <v>3</v>
      </c>
      <c r="E144">
        <v>16</v>
      </c>
      <c r="F144">
        <v>3</v>
      </c>
      <c r="G144">
        <v>1</v>
      </c>
      <c r="H144">
        <v>2</v>
      </c>
      <c r="I144">
        <v>3</v>
      </c>
      <c r="J144">
        <v>6</v>
      </c>
      <c r="K144">
        <f t="shared" si="0"/>
        <v>15</v>
      </c>
      <c r="L144">
        <f t="shared" si="1"/>
        <v>1</v>
      </c>
      <c r="M144">
        <f t="shared" si="2"/>
        <v>7</v>
      </c>
      <c r="N144" s="3">
        <v>2.9100000000000001E-2</v>
      </c>
      <c r="O144" s="3">
        <v>1.8800000000000001E-2</v>
      </c>
      <c r="P144" s="3" t="s">
        <v>70</v>
      </c>
      <c r="Q144" s="5">
        <v>1</v>
      </c>
      <c r="R144" s="5">
        <v>1</v>
      </c>
    </row>
    <row r="145" spans="1:18">
      <c r="A145">
        <v>144</v>
      </c>
      <c r="C145" t="s">
        <v>69</v>
      </c>
      <c r="D145">
        <v>4</v>
      </c>
      <c r="E145">
        <v>16</v>
      </c>
      <c r="F145">
        <v>3</v>
      </c>
      <c r="G145">
        <v>1</v>
      </c>
      <c r="H145">
        <v>2</v>
      </c>
      <c r="I145">
        <v>4</v>
      </c>
      <c r="J145">
        <v>6</v>
      </c>
      <c r="K145">
        <f t="shared" si="0"/>
        <v>16</v>
      </c>
      <c r="L145">
        <f t="shared" si="1"/>
        <v>1</v>
      </c>
      <c r="M145">
        <f t="shared" si="2"/>
        <v>7</v>
      </c>
      <c r="N145" s="3">
        <v>2.4E-2</v>
      </c>
      <c r="O145" s="3">
        <v>1.72E-2</v>
      </c>
      <c r="P145" s="3" t="s">
        <v>70</v>
      </c>
      <c r="Q145" s="5">
        <v>1</v>
      </c>
      <c r="R145" s="5">
        <v>1</v>
      </c>
    </row>
    <row r="146" spans="1:18">
      <c r="A146">
        <v>145</v>
      </c>
      <c r="C146" t="s">
        <v>67</v>
      </c>
      <c r="D146">
        <v>3</v>
      </c>
      <c r="E146">
        <v>17</v>
      </c>
      <c r="F146">
        <v>2</v>
      </c>
      <c r="G146">
        <v>2</v>
      </c>
      <c r="H146">
        <v>2</v>
      </c>
      <c r="I146">
        <v>3</v>
      </c>
      <c r="J146">
        <v>6</v>
      </c>
      <c r="K146">
        <f t="shared" si="0"/>
        <v>15</v>
      </c>
      <c r="L146">
        <f t="shared" si="1"/>
        <v>1</v>
      </c>
      <c r="M146">
        <f t="shared" si="2"/>
        <v>7</v>
      </c>
      <c r="N146" s="3">
        <v>0.03</v>
      </c>
      <c r="O146" s="3">
        <v>2.12E-2</v>
      </c>
      <c r="P146" s="3" t="s">
        <v>70</v>
      </c>
      <c r="Q146" s="5">
        <v>1</v>
      </c>
      <c r="R146" s="5">
        <v>1</v>
      </c>
    </row>
    <row r="147" spans="1:18">
      <c r="A147">
        <v>146</v>
      </c>
      <c r="C147" t="s">
        <v>68</v>
      </c>
      <c r="D147">
        <v>3</v>
      </c>
      <c r="E147">
        <v>17</v>
      </c>
      <c r="F147">
        <v>2</v>
      </c>
      <c r="G147">
        <v>2</v>
      </c>
      <c r="H147">
        <v>2</v>
      </c>
      <c r="I147">
        <v>3</v>
      </c>
      <c r="J147">
        <v>6</v>
      </c>
      <c r="K147">
        <f t="shared" si="0"/>
        <v>15</v>
      </c>
      <c r="L147">
        <f t="shared" si="1"/>
        <v>1</v>
      </c>
      <c r="M147">
        <f t="shared" si="2"/>
        <v>7</v>
      </c>
      <c r="N147" s="3">
        <v>3.6499999999999998E-2</v>
      </c>
      <c r="O147" s="3">
        <v>2.5899999999999999E-2</v>
      </c>
      <c r="P147" s="3" t="s">
        <v>75</v>
      </c>
      <c r="Q147" s="5">
        <v>1</v>
      </c>
      <c r="R147" s="5">
        <v>1</v>
      </c>
    </row>
    <row r="148" spans="1:18">
      <c r="A148">
        <v>147</v>
      </c>
      <c r="C148" t="s">
        <v>67</v>
      </c>
      <c r="D148">
        <v>3</v>
      </c>
      <c r="E148">
        <v>18</v>
      </c>
      <c r="F148">
        <v>3</v>
      </c>
      <c r="G148">
        <v>1</v>
      </c>
      <c r="H148">
        <v>2</v>
      </c>
      <c r="I148">
        <v>4</v>
      </c>
      <c r="J148">
        <v>6</v>
      </c>
      <c r="K148">
        <f t="shared" si="0"/>
        <v>16</v>
      </c>
      <c r="L148">
        <f t="shared" si="1"/>
        <v>2</v>
      </c>
      <c r="M148">
        <f t="shared" si="2"/>
        <v>8</v>
      </c>
      <c r="N148" s="3">
        <v>3.6999999999999998E-2</v>
      </c>
      <c r="O148" s="3">
        <v>2.5399999999999999E-2</v>
      </c>
      <c r="P148" s="3" t="s">
        <v>75</v>
      </c>
      <c r="Q148" s="5">
        <v>1</v>
      </c>
      <c r="R148" s="5">
        <v>1</v>
      </c>
    </row>
    <row r="149" spans="1:18">
      <c r="A149">
        <v>148</v>
      </c>
      <c r="C149" t="s">
        <v>68</v>
      </c>
      <c r="D149">
        <v>3</v>
      </c>
      <c r="E149">
        <v>18</v>
      </c>
      <c r="F149">
        <v>2</v>
      </c>
      <c r="G149">
        <v>2</v>
      </c>
      <c r="H149">
        <v>2</v>
      </c>
      <c r="I149">
        <v>3</v>
      </c>
      <c r="J149">
        <v>6</v>
      </c>
      <c r="K149">
        <f t="shared" si="0"/>
        <v>15</v>
      </c>
      <c r="L149">
        <f t="shared" si="1"/>
        <v>1</v>
      </c>
      <c r="M149">
        <f t="shared" si="2"/>
        <v>7</v>
      </c>
      <c r="N149" s="3">
        <v>3.7199999999999997E-2</v>
      </c>
      <c r="O149" s="3">
        <v>2.6499999999999999E-2</v>
      </c>
      <c r="P149" t="s">
        <v>75</v>
      </c>
      <c r="Q149" s="5">
        <v>1</v>
      </c>
      <c r="R149" s="5">
        <v>1</v>
      </c>
    </row>
  </sheetData>
  <sortState ref="A2:S1048576">
    <sortCondition ref="A3:A1048576"/>
    <sortCondition ref="L3:L1048576"/>
    <sortCondition ref="K3:K1048576"/>
  </sortState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2"/>
  <sheetData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2"/>
  <sheetData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Tenhumberg</dc:creator>
  <cp:lastModifiedBy>Travis Hinkelman</cp:lastModifiedBy>
  <dcterms:created xsi:type="dcterms:W3CDTF">2010-03-18T17:35:20Z</dcterms:created>
  <dcterms:modified xsi:type="dcterms:W3CDTF">2010-12-28T17:28:45Z</dcterms:modified>
</cp:coreProperties>
</file>